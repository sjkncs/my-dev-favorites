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消费品牌AI五维雷达图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'消费品牌AI'!$E$1:$I$1</f>
            </numRef>
          </cat>
          <val>
            <numRef>
              <f>'消费品牌AI'!$E$2:$E$17</f>
            </numRef>
          </val>
        </ser>
        <ser>
          <idx val="1"/>
          <order val="1"/>
          <tx>
            <strRef>
              <f>'消费品牌AI'!F1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'消费品牌AI'!$E$1:$I$1</f>
            </numRef>
          </cat>
          <val>
            <numRef>
              <f>'消费品牌AI'!$F$2:$F$17</f>
            </numRef>
          </val>
        </ser>
        <ser>
          <idx val="2"/>
          <order val="2"/>
          <tx>
            <strRef>
              <f>'消费品牌AI'!G1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'消费品牌AI'!$E$1:$I$1</f>
            </numRef>
          </cat>
          <val>
            <numRef>
              <f>'消费品牌AI'!$G$2:$G$17</f>
            </numRef>
          </val>
        </ser>
        <ser>
          <idx val="3"/>
          <order val="3"/>
          <tx>
            <strRef>
              <f>'消费品牌AI'!H1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'消费品牌AI'!$E$1:$I$1</f>
            </numRef>
          </cat>
          <val>
            <numRef>
              <f>'消费品牌AI'!$H$2:$H$17</f>
            </numRef>
          </val>
        </ser>
        <ser>
          <idx val="4"/>
          <order val="4"/>
          <tx>
            <strRef>
              <f>'消费品牌AI'!I1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'消费品牌AI'!$E$1:$I$1</f>
            </numRef>
          </cat>
          <val>
            <numRef>
              <f>'消费品牌AI'!$I$2:$I$17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AI大模型六维雷达图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'AI大模型'!C1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'AI大模型'!$C$2:$C$11</f>
            </numRef>
          </val>
        </ser>
        <ser>
          <idx val="1"/>
          <order val="1"/>
          <tx>
            <strRef>
              <f>'AI大模型'!D1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'AI大模型'!$D$2:$D$11</f>
            </numRef>
          </val>
        </ser>
        <ser>
          <idx val="2"/>
          <order val="2"/>
          <tx>
            <strRef>
              <f>'AI大模型'!E1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'AI大模型'!$E$2:$E$11</f>
            </numRef>
          </val>
        </ser>
        <ser>
          <idx val="3"/>
          <order val="3"/>
          <tx>
            <strRef>
              <f>'AI大模型'!F1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'AI大模型'!$F$2:$F$11</f>
            </numRef>
          </val>
        </ser>
        <ser>
          <idx val="4"/>
          <order val="4"/>
          <tx>
            <strRef>
              <f>'AI大模型'!G1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'AI大模型'!$G$2:$G$11</f>
            </numRef>
          </val>
        </ser>
        <ser>
          <idx val="5"/>
          <order val="5"/>
          <tx>
            <strRef>
              <f>'AI大模型'!H1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'AI大模型'!$C$1:$H$1</f>
            </numRef>
          </cat>
          <val>
            <numRef>
              <f>'AI大模型'!$H$2:$H$11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API输入/输出价格对比 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'AI大模型'!$B$2:$B$11</f>
            </numRef>
          </cat>
          <val>
            <numRef>
              <f>'AI大模型'!$J$2:$J$11</f>
            </numRef>
          </val>
        </ser>
        <ser>
          <idx val="1"/>
          <order val="1"/>
          <tx>
            <strRef>
              <f>'AI大模型'!K1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'AI大模型'!$B$2:$B$11</f>
            </numRef>
          </cat>
          <val>
            <numRef>
              <f>'AI大模型'!$K$2:$K$11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模型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价格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股市趋势对比（上证/纳指/恒生科技）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'股市趋势'!$H$2:$H$13</f>
            </numRef>
          </cat>
          <val>
            <numRef>
              <f>'股市趋势'!$I$2:$I$13</f>
            </numRef>
          </val>
        </ser>
        <ser>
          <idx val="1"/>
          <order val="1"/>
          <tx>
            <strRef>
              <f>'股市趋势'!J1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'股市趋势'!$H$2:$H$13</f>
            </numRef>
          </cat>
          <val>
            <numRef>
              <f>'股市趋势'!$J$2:$J$13</f>
            </numRef>
          </val>
        </ser>
        <ser>
          <idx val="2"/>
          <order val="2"/>
          <tx>
            <strRef>
              <f>'股市趋势'!K1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'股市趋势'!$H$2:$H$13</f>
            </numRef>
          </cat>
          <val>
            <numRef>
              <f>'股市趋势'!$K$2:$K$13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指数点位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半导体新闻影响评分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'半导体指标'!$B$2:$B$19</f>
            </numRef>
          </cat>
          <val>
            <numRef>
              <f>'半导体指标'!$D$2:$D$19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新闻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项目</t>
        </is>
      </c>
      <c r="B1" s="1" t="inlineStr">
        <is>
          <t>数量</t>
        </is>
      </c>
      <c r="C1" s="1" t="inlineStr">
        <is>
          <t>占比</t>
        </is>
      </c>
      <c r="D1" s="1" t="inlineStr">
        <is>
          <t>最近更新</t>
        </is>
      </c>
    </row>
    <row r="2">
      <c r="A2" s="2" t="inlineStr">
        <is>
          <t>tips</t>
        </is>
      </c>
      <c r="B2" s="2" t="n">
        <v>2</v>
      </c>
      <c r="C2" s="2">
        <f>B1/SUM(B$2:B$7)</f>
        <v/>
      </c>
      <c r="D2" s="2" t="inlineStr">
        <is>
          <t>2026-06-22</t>
        </is>
      </c>
    </row>
    <row r="3">
      <c r="A3" s="2" t="inlineStr">
        <is>
          <t>repos</t>
        </is>
      </c>
      <c r="B3" s="2" t="n">
        <v>28</v>
      </c>
      <c r="C3" s="2">
        <f>B2/SUM(B$2:B$7)</f>
        <v/>
      </c>
      <c r="D3" s="2" t="inlineStr">
        <is>
          <t>2026-06-22</t>
        </is>
      </c>
    </row>
    <row r="4">
      <c r="A4" s="2" t="inlineStr">
        <is>
          <t>consumerAI</t>
        </is>
      </c>
      <c r="B4" s="2" t="n">
        <v>16</v>
      </c>
      <c r="C4" s="2">
        <f>B3/SUM(B$2:B$7)</f>
        <v/>
      </c>
      <c r="D4" s="2" t="inlineStr">
        <is>
          <t>2026-06-22</t>
        </is>
      </c>
    </row>
    <row r="5">
      <c r="A5" s="2" t="inlineStr">
        <is>
          <t>aiModels</t>
        </is>
      </c>
      <c r="B5" s="2" t="n">
        <v>10</v>
      </c>
      <c r="C5" s="2">
        <f>B4/SUM(B$2:B$7)</f>
        <v/>
      </c>
      <c r="D5" s="2" t="inlineStr">
        <is>
          <t>2026-06-22</t>
        </is>
      </c>
    </row>
    <row r="6">
      <c r="A6" s="2" t="inlineStr">
        <is>
          <t>techNews</t>
        </is>
      </c>
      <c r="B6" s="2" t="n">
        <v>68</v>
      </c>
      <c r="C6" s="2">
        <f>B5/SUM(B$2:B$7)</f>
        <v/>
      </c>
      <c r="D6" s="2" t="inlineStr">
        <is>
          <t>2026-06-22</t>
        </is>
      </c>
    </row>
    <row r="7">
      <c r="A7" s="2" t="inlineStr">
        <is>
          <t>stockMarket</t>
        </is>
      </c>
      <c r="B7" s="2" t="n">
        <v>43</v>
      </c>
      <c r="C7" s="2">
        <f>B6/SUM(B$2:B$7)</f>
        <v/>
      </c>
      <c r="D7" s="2" t="inlineStr">
        <is>
          <t>2026-06-22</t>
        </is>
      </c>
    </row>
    <row r="8">
      <c r="A8" s="2" t="inlineStr">
        <is>
          <t>papers</t>
        </is>
      </c>
      <c r="B8" s="2" t="n">
        <v>43</v>
      </c>
      <c r="C8" s="2">
        <f>B7/SUM(B$2:B$7)</f>
        <v/>
      </c>
      <c r="D8" s="2" t="inlineStr">
        <is>
          <t>2026-06-22</t>
        </is>
      </c>
    </row>
    <row r="9">
      <c r="A9" s="2" t="inlineStr">
        <is>
          <t>总计</t>
        </is>
      </c>
      <c r="B9" s="2">
        <f>SUM(B2:B7)</f>
        <v/>
      </c>
      <c r="C9" s="2" t="inlineStr"/>
      <c r="D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品牌</t>
        </is>
      </c>
      <c r="B1" s="1" t="inlineStr">
        <is>
          <t>工具/产品</t>
        </is>
      </c>
      <c r="C1" s="1" t="inlineStr">
        <is>
          <t>类别</t>
        </is>
      </c>
      <c r="D1" s="1" t="inlineStr">
        <is>
          <t>上线时间</t>
        </is>
      </c>
      <c r="E1" s="1" t="inlineStr">
        <is>
          <t>AI深度</t>
        </is>
      </c>
      <c r="F1" s="1" t="inlineStr">
        <is>
          <t>用户体验</t>
        </is>
      </c>
      <c r="G1" s="1" t="inlineStr">
        <is>
          <t>部署规模</t>
        </is>
      </c>
      <c r="H1" s="1" t="inlineStr">
        <is>
          <t>技术壁垒</t>
        </is>
      </c>
      <c r="I1" s="1" t="inlineStr">
        <is>
          <t>商业化</t>
        </is>
      </c>
      <c r="J1" s="1" t="inlineStr">
        <is>
          <t>平均分</t>
        </is>
      </c>
    </row>
    <row r="2">
      <c r="A2" s="2" t="inlineStr">
        <is>
          <t>瑞幸咖啡</t>
        </is>
      </c>
      <c r="B2" s="2" t="inlineStr">
        <is>
          <t>MCP/CLI/Skill</t>
        </is>
      </c>
      <c r="C2" s="2" t="inlineStr">
        <is>
          <t>AI点单</t>
        </is>
      </c>
      <c r="D2" s="2" t="inlineStr">
        <is>
          <t>2026-06-10</t>
        </is>
      </c>
      <c r="E2" s="2" t="n">
        <v>8</v>
      </c>
      <c r="F2" s="2" t="n">
        <v>7</v>
      </c>
      <c r="G2" s="2" t="n">
        <v>9</v>
      </c>
      <c r="H2" s="2" t="n">
        <v>6</v>
      </c>
      <c r="I2" s="2" t="n">
        <v>7</v>
      </c>
      <c r="J2" s="2">
        <f>AVERAGE(E2:I2)</f>
        <v/>
      </c>
    </row>
    <row r="3">
      <c r="A3" s="2" t="inlineStr">
        <is>
          <t>喜茶</t>
        </is>
      </c>
      <c r="B3" s="2" t="inlineStr">
        <is>
          <t>全套智能茶饮设备</t>
        </is>
      </c>
      <c r="C3" s="2" t="inlineStr">
        <is>
          <t>门店自动化</t>
        </is>
      </c>
      <c r="D3" s="2" t="inlineStr">
        <is>
          <t>2024-2025</t>
        </is>
      </c>
      <c r="E3" s="2" t="n">
        <v>6</v>
      </c>
      <c r="F3" s="2" t="n">
        <v>8</v>
      </c>
      <c r="G3" s="2" t="n">
        <v>8</v>
      </c>
      <c r="H3" s="2" t="n">
        <v>9</v>
      </c>
      <c r="I3" s="2" t="n">
        <v>8</v>
      </c>
      <c r="J3" s="2">
        <f>AVERAGE(E3:I3)</f>
        <v/>
      </c>
    </row>
    <row r="4">
      <c r="A4" s="2" t="inlineStr">
        <is>
          <t>奈雪的茶</t>
        </is>
      </c>
      <c r="B4" s="2" t="inlineStr">
        <is>
          <t>AI溯源预警系统 + 智能茶饮机</t>
        </is>
      </c>
      <c r="C4" s="2" t="inlineStr">
        <is>
          <t>食品安全AI</t>
        </is>
      </c>
      <c r="D4" s="2" t="inlineStr">
        <is>
          <t>2023</t>
        </is>
      </c>
      <c r="E4" s="2" t="n">
        <v>7</v>
      </c>
      <c r="F4" s="2" t="n">
        <v>7</v>
      </c>
      <c r="G4" s="2" t="n">
        <v>7</v>
      </c>
      <c r="H4" s="2" t="n">
        <v>7</v>
      </c>
      <c r="I4" s="2" t="n">
        <v>6</v>
      </c>
      <c r="J4" s="2">
        <f>AVERAGE(E4:I4)</f>
        <v/>
      </c>
    </row>
    <row r="5">
      <c r="A5" s="2" t="inlineStr">
        <is>
          <t>蜜雪冰城</t>
        </is>
      </c>
      <c r="B5" s="2" t="inlineStr">
        <is>
          <t>雪王爱智慧科技</t>
        </is>
      </c>
      <c r="C5" s="2" t="inlineStr">
        <is>
          <t>AI底层技术</t>
        </is>
      </c>
      <c r="D5" s="2" t="inlineStr">
        <is>
          <t>2024-11</t>
        </is>
      </c>
      <c r="E5" s="2" t="n">
        <v>5</v>
      </c>
      <c r="F5" s="2" t="n">
        <v>5</v>
      </c>
      <c r="G5" s="2" t="n">
        <v>10</v>
      </c>
      <c r="H5" s="2" t="n">
        <v>5</v>
      </c>
      <c r="I5" s="2" t="n">
        <v>6</v>
      </c>
      <c r="J5" s="2">
        <f>AVERAGE(E5:I5)</f>
        <v/>
      </c>
    </row>
    <row r="6">
      <c r="A6" s="2" t="inlineStr">
        <is>
          <t>星巴克</t>
        </is>
      </c>
      <c r="B6" s="2" t="inlineStr">
        <is>
          <t>Green Dot Assist（绿点助手）</t>
        </is>
      </c>
      <c r="C6" s="2" t="inlineStr">
        <is>
          <t>员工辅助AI</t>
        </is>
      </c>
      <c r="D6" s="2" t="inlineStr">
        <is>
          <t>2025-06</t>
        </is>
      </c>
      <c r="E6" s="2" t="n">
        <v>4</v>
      </c>
      <c r="F6" s="2" t="n">
        <v>7</v>
      </c>
      <c r="G6" s="2" t="n">
        <v>7</v>
      </c>
      <c r="H6" s="2" t="n">
        <v>3</v>
      </c>
      <c r="I6" s="2" t="n">
        <v>5</v>
      </c>
      <c r="J6" s="2">
        <f>AVERAGE(E6:I6)</f>
        <v/>
      </c>
    </row>
    <row r="7">
      <c r="A7" s="2" t="inlineStr">
        <is>
          <t>星巴克</t>
        </is>
      </c>
      <c r="B7" s="2" t="inlineStr">
        <is>
          <t>Deep Brew AI 平台</t>
        </is>
      </c>
      <c r="C7" s="2" t="inlineStr">
        <is>
          <t>个性化推荐</t>
        </is>
      </c>
      <c r="D7" s="2" t="inlineStr">
        <is>
          <t>2019</t>
        </is>
      </c>
      <c r="E7" s="2" t="n">
        <v>8</v>
      </c>
      <c r="F7" s="2" t="n">
        <v>9</v>
      </c>
      <c r="G7" s="2" t="n">
        <v>10</v>
      </c>
      <c r="H7" s="2" t="n">
        <v>7</v>
      </c>
      <c r="I7" s="2" t="n">
        <v>9</v>
      </c>
      <c r="J7" s="2">
        <f>AVERAGE(E7:I7)</f>
        <v/>
      </c>
    </row>
    <row r="8">
      <c r="A8" s="2" t="inlineStr">
        <is>
          <t>星巴克</t>
        </is>
      </c>
      <c r="B8" s="2" t="inlineStr">
        <is>
          <t>AI库存管理工具（已停用）</t>
        </is>
      </c>
      <c r="C8" s="2" t="inlineStr">
        <is>
          <t>需求预测AI（失败案例）</t>
        </is>
      </c>
      <c r="D8" s="2" t="inlineStr">
        <is>
          <t>2025</t>
        </is>
      </c>
      <c r="E8" s="2" t="n">
        <v>5</v>
      </c>
      <c r="F8" s="2" t="n">
        <v>2</v>
      </c>
      <c r="G8" s="2" t="n">
        <v>1</v>
      </c>
      <c r="H8" s="2" t="n">
        <v>5</v>
      </c>
      <c r="I8" s="2" t="n">
        <v>0</v>
      </c>
      <c r="J8" s="2">
        <f>AVERAGE(E8:I8)</f>
        <v/>
      </c>
    </row>
    <row r="9">
      <c r="A9" s="2" t="inlineStr">
        <is>
          <t>库迪咖啡</t>
        </is>
      </c>
      <c r="B9" s="2" t="inlineStr">
        <is>
          <t>智慧运营体系</t>
        </is>
      </c>
      <c r="C9" s="2" t="inlineStr">
        <is>
          <t>智慧运营</t>
        </is>
      </c>
      <c r="D9" s="2" t="inlineStr">
        <is>
          <t>2025</t>
        </is>
      </c>
      <c r="E9" s="2" t="n">
        <v>7</v>
      </c>
      <c r="F9" s="2" t="n">
        <v>6</v>
      </c>
      <c r="G9" s="2" t="n">
        <v>9</v>
      </c>
      <c r="H9" s="2" t="n">
        <v>6</v>
      </c>
      <c r="I9" s="2" t="n">
        <v>7</v>
      </c>
      <c r="J9" s="2">
        <f>AVERAGE(E9:I9)</f>
        <v/>
      </c>
    </row>
    <row r="10">
      <c r="A10" s="2" t="inlineStr">
        <is>
          <t>肯德基</t>
        </is>
      </c>
      <c r="B10" s="2" t="inlineStr">
        <is>
          <t>AI点餐助手'小K'</t>
        </is>
      </c>
      <c r="C10" s="2" t="inlineStr">
        <is>
          <t>AI语音点餐</t>
        </is>
      </c>
      <c r="D10" s="2" t="inlineStr">
        <is>
          <t>2026-03-02</t>
        </is>
      </c>
      <c r="E10" s="2" t="n">
        <v>7</v>
      </c>
      <c r="F10" s="2" t="n">
        <v>7</v>
      </c>
      <c r="G10" s="2" t="n">
        <v>8</v>
      </c>
      <c r="H10" s="2" t="n">
        <v>6</v>
      </c>
      <c r="I10" s="2" t="n">
        <v>7</v>
      </c>
      <c r="J10" s="2">
        <f>AVERAGE(E10:I10)</f>
        <v/>
      </c>
    </row>
    <row r="11">
      <c r="A11" s="2" t="inlineStr">
        <is>
          <t>麦当劳</t>
        </is>
      </c>
      <c r="B11" s="2" t="inlineStr">
        <is>
          <t>RGM BOSS + 汉堡大学AI智能陪练</t>
        </is>
      </c>
      <c r="C11" s="2" t="inlineStr">
        <is>
          <t>员工数字化</t>
        </is>
      </c>
      <c r="D11" s="2" t="inlineStr">
        <is>
          <t>2025</t>
        </is>
      </c>
      <c r="E11" s="2" t="n">
        <v>5</v>
      </c>
      <c r="F11" s="2" t="n">
        <v>7</v>
      </c>
      <c r="G11" s="2" t="n">
        <v>8</v>
      </c>
      <c r="H11" s="2" t="n">
        <v>4</v>
      </c>
      <c r="I11" s="2" t="n">
        <v>6</v>
      </c>
      <c r="J11" s="2">
        <f>AVERAGE(E11:I11)</f>
        <v/>
      </c>
    </row>
    <row r="12">
      <c r="A12" s="2" t="inlineStr">
        <is>
          <t>海底捞</t>
        </is>
      </c>
      <c r="B12" s="2" t="inlineStr">
        <is>
          <t>AI智慧巡检系统 + 智能体机器人</t>
        </is>
      </c>
      <c r="C12" s="2" t="inlineStr">
        <is>
          <t>AI巡检</t>
        </is>
      </c>
      <c r="D12" s="2" t="inlineStr">
        <is>
          <t>2024</t>
        </is>
      </c>
      <c r="E12" s="2" t="n">
        <v>7</v>
      </c>
      <c r="F12" s="2" t="n">
        <v>7</v>
      </c>
      <c r="G12" s="2" t="n">
        <v>9</v>
      </c>
      <c r="H12" s="2" t="n">
        <v>7</v>
      </c>
      <c r="I12" s="2" t="n">
        <v>8</v>
      </c>
      <c r="J12" s="2">
        <f>AVERAGE(E12:I12)</f>
        <v/>
      </c>
    </row>
    <row r="13">
      <c r="A13" s="2" t="inlineStr">
        <is>
          <t>茶百道</t>
        </is>
      </c>
      <c r="B13" s="2" t="inlineStr">
        <is>
          <t>智能管理体系</t>
        </is>
      </c>
      <c r="C13" s="2" t="inlineStr">
        <is>
          <t>AI巡检+品控</t>
        </is>
      </c>
      <c r="D13" s="2" t="inlineStr">
        <is>
          <t>2025-03</t>
        </is>
      </c>
      <c r="E13" s="2" t="n">
        <v>6</v>
      </c>
      <c r="F13" s="2" t="n">
        <v>7</v>
      </c>
      <c r="G13" s="2" t="n">
        <v>9</v>
      </c>
      <c r="H13" s="2" t="n">
        <v>5</v>
      </c>
      <c r="I13" s="2" t="n">
        <v>7</v>
      </c>
      <c r="J13" s="2">
        <f>AVERAGE(E13:I13)</f>
        <v/>
      </c>
    </row>
    <row r="14">
      <c r="A14" s="2" t="inlineStr">
        <is>
          <t>霸王茶姬</t>
        </is>
      </c>
      <c r="B14" s="2" t="inlineStr">
        <is>
          <t>智能调饮系统 + '茶茶圈'AI知识管理</t>
        </is>
      </c>
      <c r="C14" s="2" t="inlineStr">
        <is>
          <t>智能标准化</t>
        </is>
      </c>
      <c r="D14" s="2" t="inlineStr">
        <is>
          <t>2024-2025</t>
        </is>
      </c>
      <c r="E14" s="2" t="n">
        <v>6</v>
      </c>
      <c r="F14" s="2" t="n">
        <v>9</v>
      </c>
      <c r="G14" s="2" t="n">
        <v>9</v>
      </c>
      <c r="H14" s="2" t="n">
        <v>6</v>
      </c>
      <c r="I14" s="2" t="n">
        <v>9</v>
      </c>
      <c r="J14" s="2">
        <f>AVERAGE(E14:I14)</f>
        <v/>
      </c>
    </row>
    <row r="15">
      <c r="A15" s="2" t="inlineStr">
        <is>
          <t>阿里通义千问</t>
        </is>
      </c>
      <c r="B15" s="2" t="inlineStr">
        <is>
          <t>千问App'一句话点奶茶'</t>
        </is>
      </c>
      <c r="C15" s="2" t="inlineStr">
        <is>
          <t>AI Agent消费入口</t>
        </is>
      </c>
      <c r="D15" s="2" t="inlineStr">
        <is>
          <t>2026-02-06</t>
        </is>
      </c>
      <c r="E15" s="2" t="n">
        <v>8</v>
      </c>
      <c r="F15" s="2" t="n">
        <v>8</v>
      </c>
      <c r="G15" s="2" t="n">
        <v>10</v>
      </c>
      <c r="H15" s="2" t="n">
        <v>7</v>
      </c>
      <c r="I15" s="2" t="n">
        <v>7</v>
      </c>
      <c r="J15" s="2">
        <f>AVERAGE(E15:I15)</f>
        <v/>
      </c>
    </row>
    <row r="16">
      <c r="A16" s="2" t="inlineStr">
        <is>
          <t>蜜雪冰城</t>
        </is>
      </c>
      <c r="B16" s="2" t="inlineStr">
        <is>
          <t>雪王爱智慧 - AI公共数据平台</t>
        </is>
      </c>
      <c r="C16" s="2" t="inlineStr">
        <is>
          <t>AI数据平台</t>
        </is>
      </c>
      <c r="D16" s="2" t="inlineStr">
        <is>
          <t>2024-11</t>
        </is>
      </c>
      <c r="E16" s="2" t="n">
        <v>6</v>
      </c>
      <c r="F16" s="2" t="n">
        <v>3</v>
      </c>
      <c r="G16" s="2" t="n">
        <v>8</v>
      </c>
      <c r="H16" s="2" t="n">
        <v>6</v>
      </c>
      <c r="I16" s="2" t="n">
        <v>4</v>
      </c>
      <c r="J16" s="2">
        <f>AVERAGE(E16:I16)</f>
        <v/>
      </c>
    </row>
    <row r="17">
      <c r="A17" s="2" t="inlineStr">
        <is>
          <t>科创板AI大模型企业</t>
        </is>
      </c>
      <c r="B17" s="2" t="inlineStr">
        <is>
          <t>A股IPO通道</t>
        </is>
      </c>
      <c r="C17" s="2" t="inlineStr">
        <is>
          <t>资本市场AI</t>
        </is>
      </c>
      <c r="D17" s="2" t="inlineStr">
        <is>
          <t>2026-06-17</t>
        </is>
      </c>
      <c r="E17" s="2" t="n">
        <v>7</v>
      </c>
      <c r="F17" s="2" t="n">
        <v>5</v>
      </c>
      <c r="G17" s="2" t="n">
        <v>8</v>
      </c>
      <c r="H17" s="2" t="n">
        <v>6</v>
      </c>
      <c r="I17" s="2" t="n">
        <v>9</v>
      </c>
      <c r="J17" s="2">
        <f>AVERAGE(E17:I17)</f>
        <v/>
      </c>
    </row>
  </sheetData>
  <conditionalFormatting sqref="E2:I17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模型</t>
        </is>
      </c>
      <c r="B1" s="1" t="inlineStr">
        <is>
          <t>厂商</t>
        </is>
      </c>
      <c r="C1" s="1" t="inlineStr">
        <is>
          <t>推理</t>
        </is>
      </c>
      <c r="D1" s="1" t="inlineStr">
        <is>
          <t>编程</t>
        </is>
      </c>
      <c r="E1" s="1" t="inlineStr">
        <is>
          <t>多模态</t>
        </is>
      </c>
      <c r="F1" s="1" t="inlineStr">
        <is>
          <t>性价比</t>
        </is>
      </c>
      <c r="G1" s="1" t="inlineStr">
        <is>
          <t>上下文</t>
        </is>
      </c>
      <c r="H1" s="1" t="inlineStr">
        <is>
          <t>生态</t>
        </is>
      </c>
      <c r="I1" s="1" t="inlineStr">
        <is>
          <t>平均分</t>
        </is>
      </c>
      <c r="J1" s="1" t="inlineStr">
        <is>
          <t>输入价格($/M)</t>
        </is>
      </c>
      <c r="K1" s="1" t="inlineStr">
        <is>
          <t>输出价格($/M)</t>
        </is>
      </c>
      <c r="L1" s="1" t="inlineStr">
        <is>
          <t>上下文窗口</t>
        </is>
      </c>
      <c r="M1" s="1" t="inlineStr">
        <is>
          <t>开源</t>
        </is>
      </c>
    </row>
    <row r="2">
      <c r="A2" s="2" t="inlineStr">
        <is>
          <t>GPT-5.5</t>
        </is>
      </c>
      <c r="B2" s="2" t="inlineStr">
        <is>
          <t>OpenAI</t>
        </is>
      </c>
      <c r="C2" s="2" t="n">
        <v>9</v>
      </c>
      <c r="D2" s="2" t="n">
        <v>8</v>
      </c>
      <c r="E2" s="2" t="n">
        <v>9</v>
      </c>
      <c r="F2" s="2" t="n">
        <v>3</v>
      </c>
      <c r="G2" s="2" t="n">
        <v>7</v>
      </c>
      <c r="H2" s="2" t="n">
        <v>10</v>
      </c>
      <c r="I2" s="2">
        <f>AVERAGE(C2:H2)</f>
        <v/>
      </c>
      <c r="J2" s="2" t="n">
        <v>15</v>
      </c>
      <c r="K2" s="2" t="n">
        <v>60</v>
      </c>
      <c r="L2" s="2" t="inlineStr">
        <is>
          <t>128K</t>
        </is>
      </c>
      <c r="M2" s="2" t="inlineStr">
        <is>
          <t>否</t>
        </is>
      </c>
    </row>
    <row r="3">
      <c r="A3" s="2" t="inlineStr">
        <is>
          <t>DeepSeek V4</t>
        </is>
      </c>
      <c r="B3" s="2" t="inlineStr">
        <is>
          <t>DeepSeek（幻方量化）</t>
        </is>
      </c>
      <c r="C3" s="2" t="n">
        <v>8</v>
      </c>
      <c r="D3" s="2" t="n">
        <v>8</v>
      </c>
      <c r="E3" s="2" t="n">
        <v>6</v>
      </c>
      <c r="F3" s="2" t="n">
        <v>10</v>
      </c>
      <c r="G3" s="2" t="n">
        <v>7</v>
      </c>
      <c r="H3" s="2" t="n">
        <v>7</v>
      </c>
      <c r="I3" s="2">
        <f>AVERAGE(C3:H3)</f>
        <v/>
      </c>
      <c r="J3" s="2" t="n">
        <v>2</v>
      </c>
      <c r="K3" s="2" t="n">
        <v>8</v>
      </c>
      <c r="L3" s="2" t="inlineStr">
        <is>
          <t>128K</t>
        </is>
      </c>
      <c r="M3" s="2" t="inlineStr">
        <is>
          <t>是</t>
        </is>
      </c>
    </row>
    <row r="4">
      <c r="A4" s="2" t="inlineStr">
        <is>
          <t>Claude 4 Opus</t>
        </is>
      </c>
      <c r="B4" s="2" t="inlineStr">
        <is>
          <t>Anthropic</t>
        </is>
      </c>
      <c r="C4" s="2" t="n">
        <v>9</v>
      </c>
      <c r="D4" s="2" t="n">
        <v>10</v>
      </c>
      <c r="E4" s="2" t="n">
        <v>8</v>
      </c>
      <c r="F4" s="2" t="n">
        <v>4</v>
      </c>
      <c r="G4" s="2" t="n">
        <v>8</v>
      </c>
      <c r="H4" s="2" t="n">
        <v>8</v>
      </c>
      <c r="I4" s="2">
        <f>AVERAGE(C4:H4)</f>
        <v/>
      </c>
      <c r="J4" s="2" t="n">
        <v>15</v>
      </c>
      <c r="K4" s="2" t="n">
        <v>75</v>
      </c>
      <c r="L4" s="2" t="inlineStr">
        <is>
          <t>200K</t>
        </is>
      </c>
      <c r="M4" s="2" t="inlineStr">
        <is>
          <t>否</t>
        </is>
      </c>
    </row>
    <row r="5">
      <c r="A5" s="2" t="inlineStr">
        <is>
          <t>Claude 4 Sonnet</t>
        </is>
      </c>
      <c r="B5" s="2" t="inlineStr">
        <is>
          <t>Anthropic</t>
        </is>
      </c>
      <c r="C5" s="2" t="n">
        <v>8</v>
      </c>
      <c r="D5" s="2" t="n">
        <v>9</v>
      </c>
      <c r="E5" s="2" t="n">
        <v>8</v>
      </c>
      <c r="F5" s="2" t="n">
        <v>6</v>
      </c>
      <c r="G5" s="2" t="n">
        <v>8</v>
      </c>
      <c r="H5" s="2" t="n">
        <v>8</v>
      </c>
      <c r="I5" s="2">
        <f>AVERAGE(C5:H5)</f>
        <v/>
      </c>
      <c r="J5" s="2" t="n">
        <v>3</v>
      </c>
      <c r="K5" s="2" t="n">
        <v>15</v>
      </c>
      <c r="L5" s="2" t="inlineStr">
        <is>
          <t>200K</t>
        </is>
      </c>
      <c r="M5" s="2" t="inlineStr">
        <is>
          <t>否</t>
        </is>
      </c>
    </row>
    <row r="6">
      <c r="A6" s="2" t="inlineStr">
        <is>
          <t>Gemini 3.5 Flash</t>
        </is>
      </c>
      <c r="B6" s="2" t="inlineStr">
        <is>
          <t>Google</t>
        </is>
      </c>
      <c r="C6" s="2" t="n">
        <v>8</v>
      </c>
      <c r="D6" s="2" t="n">
        <v>7</v>
      </c>
      <c r="E6" s="2" t="n">
        <v>9</v>
      </c>
      <c r="F6" s="2" t="n">
        <v>7</v>
      </c>
      <c r="G6" s="2" t="n">
        <v>9</v>
      </c>
      <c r="H6" s="2" t="n">
        <v>9</v>
      </c>
      <c r="I6" s="2">
        <f>AVERAGE(C6:H6)</f>
        <v/>
      </c>
      <c r="J6" s="2" t="n">
        <v>1</v>
      </c>
      <c r="K6" s="2" t="n">
        <v>4</v>
      </c>
      <c r="L6" s="2" t="inlineStr">
        <is>
          <t>1M</t>
        </is>
      </c>
      <c r="M6" s="2" t="inlineStr">
        <is>
          <t>否</t>
        </is>
      </c>
    </row>
    <row r="7">
      <c r="A7" s="2" t="inlineStr">
        <is>
          <t>Gemini 3 Deep Think</t>
        </is>
      </c>
      <c r="B7" s="2" t="inlineStr">
        <is>
          <t>Google</t>
        </is>
      </c>
      <c r="C7" s="2" t="n">
        <v>10</v>
      </c>
      <c r="D7" s="2" t="n">
        <v>7</v>
      </c>
      <c r="E7" s="2" t="n">
        <v>8</v>
      </c>
      <c r="F7" s="2" t="n">
        <v>5</v>
      </c>
      <c r="G7" s="2" t="n">
        <v>8</v>
      </c>
      <c r="H7" s="2" t="n">
        <v>8</v>
      </c>
      <c r="I7" s="2">
        <f>AVERAGE(C7:H7)</f>
        <v/>
      </c>
      <c r="J7" s="2" t="n">
        <v>10</v>
      </c>
      <c r="K7" s="2" t="n">
        <v>40</v>
      </c>
      <c r="L7" s="2" t="inlineStr">
        <is>
          <t>512K</t>
        </is>
      </c>
      <c r="M7" s="2" t="inlineStr">
        <is>
          <t>否</t>
        </is>
      </c>
    </row>
    <row r="8">
      <c r="A8" s="2" t="inlineStr">
        <is>
          <t>豆包 2.0</t>
        </is>
      </c>
      <c r="B8" s="2" t="inlineStr">
        <is>
          <t>字节跳动</t>
        </is>
      </c>
      <c r="C8" s="2" t="n">
        <v>7</v>
      </c>
      <c r="D8" s="2" t="n">
        <v>7</v>
      </c>
      <c r="E8" s="2" t="n">
        <v>8</v>
      </c>
      <c r="F8" s="2" t="n">
        <v>8</v>
      </c>
      <c r="G8" s="2" t="n">
        <v>7</v>
      </c>
      <c r="H8" s="2" t="n">
        <v>10</v>
      </c>
      <c r="I8" s="2">
        <f>AVERAGE(C8:H8)</f>
        <v/>
      </c>
      <c r="J8" s="2" t="n">
        <v>2</v>
      </c>
      <c r="K8" s="2" t="n">
        <v>6</v>
      </c>
      <c r="L8" s="2" t="inlineStr">
        <is>
          <t>128K</t>
        </is>
      </c>
      <c r="M8" s="2" t="inlineStr">
        <is>
          <t>否</t>
        </is>
      </c>
    </row>
    <row r="9">
      <c r="A9" s="2" t="inlineStr">
        <is>
          <t>通义千问 (Qwen)</t>
        </is>
      </c>
      <c r="B9" s="2" t="inlineStr">
        <is>
          <t>阿里巴巴</t>
        </is>
      </c>
      <c r="C9" s="2" t="n">
        <v>7</v>
      </c>
      <c r="D9" s="2" t="n">
        <v>7</v>
      </c>
      <c r="E9" s="2" t="n">
        <v>7</v>
      </c>
      <c r="F9" s="2" t="n">
        <v>9</v>
      </c>
      <c r="G9" s="2" t="n">
        <v>8</v>
      </c>
      <c r="H9" s="2" t="n">
        <v>8</v>
      </c>
      <c r="I9" s="2">
        <f>AVERAGE(C9:H9)</f>
        <v/>
      </c>
      <c r="J9" s="2" t="n">
        <v>1</v>
      </c>
      <c r="K9" s="2" t="n">
        <v>3</v>
      </c>
      <c r="L9" s="2" t="inlineStr">
        <is>
          <t>256K</t>
        </is>
      </c>
      <c r="M9" s="2" t="inlineStr">
        <is>
          <t>是</t>
        </is>
      </c>
    </row>
    <row r="10">
      <c r="A10" s="2" t="inlineStr">
        <is>
          <t>MiniMax</t>
        </is>
      </c>
      <c r="B10" s="2" t="inlineStr">
        <is>
          <t>MiniMax</t>
        </is>
      </c>
      <c r="C10" s="2" t="n">
        <v>7</v>
      </c>
      <c r="D10" s="2" t="n">
        <v>6</v>
      </c>
      <c r="E10" s="2" t="n">
        <v>8</v>
      </c>
      <c r="F10" s="2" t="n">
        <v>9</v>
      </c>
      <c r="G10" s="2" t="n">
        <v>8</v>
      </c>
      <c r="H10" s="2" t="n">
        <v>6</v>
      </c>
      <c r="I10" s="2">
        <f>AVERAGE(C10:H10)</f>
        <v/>
      </c>
      <c r="J10" s="2" t="n">
        <v>1.5</v>
      </c>
      <c r="K10" s="2" t="n">
        <v>5</v>
      </c>
      <c r="L10" s="2" t="inlineStr">
        <is>
          <t>256K</t>
        </is>
      </c>
      <c r="M10" s="2" t="inlineStr">
        <is>
          <t>是</t>
        </is>
      </c>
    </row>
    <row r="11">
      <c r="A11" s="2" t="inlineStr">
        <is>
          <t>GLM-5.2</t>
        </is>
      </c>
      <c r="B11" s="2" t="inlineStr">
        <is>
          <t>智谱</t>
        </is>
      </c>
      <c r="C11" s="2" t="n">
        <v>8</v>
      </c>
      <c r="D11" s="2" t="n">
        <v>7</v>
      </c>
      <c r="E11" s="2" t="n">
        <v>7</v>
      </c>
      <c r="F11" s="2" t="n">
        <v>7</v>
      </c>
      <c r="G11" s="2" t="n">
        <v>8</v>
      </c>
      <c r="H11" s="2" t="n">
        <v>7</v>
      </c>
      <c r="I11" s="2">
        <f>AVERAGE(C11:H11)</f>
        <v/>
      </c>
      <c r="J11" s="2" t="n">
        <v>2</v>
      </c>
      <c r="K11" s="2" t="n">
        <v>8</v>
      </c>
      <c r="L11" s="2" t="inlineStr">
        <is>
          <t>128K</t>
        </is>
      </c>
      <c r="M11" s="2" t="inlineStr">
        <is>
          <t>否</t>
        </is>
      </c>
    </row>
  </sheetData>
  <conditionalFormatting sqref="C2:H11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市场</t>
        </is>
      </c>
      <c r="C1" s="1" t="inlineStr">
        <is>
          <t>指数</t>
        </is>
      </c>
      <c r="D1" s="1" t="inlineStr">
        <is>
          <t>收盘</t>
        </is>
      </c>
      <c r="E1" s="1" t="inlineStr">
        <is>
          <t>涨跌幅</t>
        </is>
      </c>
      <c r="F1" s="1" t="inlineStr">
        <is>
          <t>事件</t>
        </is>
      </c>
      <c r="G1" s="1" t="n"/>
      <c r="H1" t="inlineStr">
        <is>
          <t>日期</t>
        </is>
      </c>
      <c r="I1" t="inlineStr">
        <is>
          <t>上证</t>
        </is>
      </c>
      <c r="J1" t="inlineStr">
        <is>
          <t>纳指</t>
        </is>
      </c>
      <c r="K1" t="inlineStr">
        <is>
          <t>恒生科技</t>
        </is>
      </c>
    </row>
    <row r="2">
      <c r="A2" s="2" t="inlineStr">
        <is>
          <t>2026-06-22</t>
        </is>
      </c>
      <c r="B2" s="2" t="inlineStr">
        <is>
          <t>港股</t>
        </is>
      </c>
      <c r="C2" s="2" t="inlineStr">
        <is>
          <t>恒生科技指数</t>
        </is>
      </c>
      <c r="D2" s="2" t="n">
        <v>4573.71</v>
      </c>
      <c r="E2" s="2" t="inlineStr">
        <is>
          <t>-0.67%</t>
        </is>
      </c>
      <c r="F2" s="2" t="inlineStr">
        <is>
          <t>科指小幅收跌</t>
        </is>
      </c>
      <c r="G2" s="2" t="n"/>
      <c r="H2" t="inlineStr">
        <is>
          <t>2026-01-31</t>
        </is>
      </c>
      <c r="J2" t="n">
        <v>19800</v>
      </c>
      <c r="K2" t="n">
        <v>5200</v>
      </c>
    </row>
    <row r="3">
      <c r="A3" s="2" t="inlineStr">
        <is>
          <t>2026-06-22</t>
        </is>
      </c>
      <c r="B3" s="2" t="inlineStr">
        <is>
          <t>港股</t>
        </is>
      </c>
      <c r="C3" s="2" t="inlineStr">
        <is>
          <t>恒生指数</t>
        </is>
      </c>
      <c r="D3" s="2" t="n">
        <v>23828.25</v>
      </c>
      <c r="E3" s="2" t="inlineStr">
        <is>
          <t>-0.40%</t>
        </is>
      </c>
      <c r="F3" s="2" t="inlineStr">
        <is>
          <t>恒指小幅收跌</t>
        </is>
      </c>
      <c r="G3" s="2" t="n"/>
      <c r="H3" t="inlineStr">
        <is>
          <t>2026-02-28</t>
        </is>
      </c>
      <c r="J3" t="n">
        <v>20100</v>
      </c>
      <c r="K3" t="n">
        <v>5380</v>
      </c>
    </row>
    <row r="4">
      <c r="A4" s="2" t="inlineStr">
        <is>
          <t>2026-06-22</t>
        </is>
      </c>
      <c r="B4" s="2" t="inlineStr">
        <is>
          <t>A股</t>
        </is>
      </c>
      <c r="C4" s="2" t="inlineStr">
        <is>
          <t>上证综指</t>
        </is>
      </c>
      <c r="D4" s="2" t="n">
        <v>4163.1</v>
      </c>
      <c r="E4" s="2" t="inlineStr">
        <is>
          <t>+1.78%</t>
        </is>
      </c>
      <c r="F4" s="2" t="inlineStr">
        <is>
          <t>沪指突破4160点</t>
        </is>
      </c>
      <c r="G4" s="2" t="n"/>
      <c r="H4" t="inlineStr">
        <is>
          <t>2026-03-31</t>
        </is>
      </c>
      <c r="J4" t="n">
        <v>20500</v>
      </c>
      <c r="K4" t="n">
        <v>5500</v>
      </c>
    </row>
    <row r="5">
      <c r="A5" s="2" t="inlineStr">
        <is>
          <t>2026-06-22</t>
        </is>
      </c>
      <c r="B5" s="2" t="inlineStr">
        <is>
          <t>A股</t>
        </is>
      </c>
      <c r="C5" s="2" t="inlineStr">
        <is>
          <t>深证成指</t>
        </is>
      </c>
      <c r="D5" s="2" t="n">
        <v>16372.5</v>
      </c>
      <c r="E5" s="2" t="inlineStr">
        <is>
          <t>+2.13%</t>
        </is>
      </c>
      <c r="F5" s="2" t="inlineStr">
        <is>
          <t>深成指大涨</t>
        </is>
      </c>
      <c r="G5" s="2" t="n"/>
      <c r="H5" t="inlineStr">
        <is>
          <t>2026-04-30</t>
        </is>
      </c>
      <c r="J5" t="n">
        <v>21200</v>
      </c>
      <c r="K5" t="n">
        <v>5650</v>
      </c>
    </row>
    <row r="6">
      <c r="A6" s="2" t="inlineStr">
        <is>
          <t>2026-06-22</t>
        </is>
      </c>
      <c r="B6" s="2" t="inlineStr">
        <is>
          <t>A股</t>
        </is>
      </c>
      <c r="C6" s="2" t="inlineStr">
        <is>
          <t>创业板指</t>
        </is>
      </c>
      <c r="D6" s="2" t="n">
        <v>4359.39</v>
      </c>
      <c r="E6" s="2" t="inlineStr">
        <is>
          <t>+2.52%</t>
        </is>
      </c>
      <c r="F6" s="2" t="inlineStr">
        <is>
          <t>创业板指涨超2.5%</t>
        </is>
      </c>
      <c r="G6" s="2" t="n"/>
      <c r="H6" t="inlineStr">
        <is>
          <t>2026-05-31</t>
        </is>
      </c>
      <c r="I6" t="n">
        <v>3987</v>
      </c>
      <c r="J6" t="n">
        <v>23500</v>
      </c>
      <c r="K6" t="n">
        <v>5100</v>
      </c>
    </row>
    <row r="7">
      <c r="A7" s="2" t="inlineStr">
        <is>
          <t>2026-06-22</t>
        </is>
      </c>
      <c r="B7" s="2" t="inlineStr">
        <is>
          <t>A股</t>
        </is>
      </c>
      <c r="C7" s="2" t="inlineStr">
        <is>
          <t>科创50</t>
        </is>
      </c>
      <c r="D7" s="2" t="n">
        <v>1948.93</v>
      </c>
      <c r="E7" s="2" t="inlineStr">
        <is>
          <t>+1.96%</t>
        </is>
      </c>
      <c r="F7" s="2" t="inlineStr">
        <is>
          <t>科创板延续强势</t>
        </is>
      </c>
      <c r="G7" s="2" t="n"/>
      <c r="H7" t="inlineStr">
        <is>
          <t>2026-06-12</t>
        </is>
      </c>
      <c r="I7" t="n">
        <v>4040</v>
      </c>
      <c r="J7" t="n">
        <v>25810</v>
      </c>
      <c r="K7" t="n">
        <v>5430</v>
      </c>
    </row>
    <row r="8">
      <c r="A8" s="2" t="inlineStr">
        <is>
          <t>2026-06-18</t>
        </is>
      </c>
      <c r="B8" s="2" t="inlineStr">
        <is>
          <t>美股</t>
        </is>
      </c>
      <c r="C8" s="2" t="inlineStr">
        <is>
          <t>纳斯达克综合指数</t>
        </is>
      </c>
      <c r="D8" s="2" t="n">
        <v>26021.66</v>
      </c>
      <c r="E8" s="2" t="inlineStr">
        <is>
          <t>-1.34%</t>
        </is>
      </c>
      <c r="F8" s="2" t="inlineStr">
        <is>
          <t>美联储维持利率不变</t>
        </is>
      </c>
      <c r="G8" s="2" t="n"/>
      <c r="H8" t="inlineStr">
        <is>
          <t>2026-06-15</t>
        </is>
      </c>
      <c r="I8" t="n">
        <v>4052.18</v>
      </c>
      <c r="J8" t="n">
        <v>25948.22</v>
      </c>
      <c r="K8" t="n">
        <v>4735.8</v>
      </c>
    </row>
    <row r="9">
      <c r="A9" s="2" t="inlineStr">
        <is>
          <t>2026-06-18</t>
        </is>
      </c>
      <c r="B9" s="2" t="inlineStr">
        <is>
          <t>美股</t>
        </is>
      </c>
      <c r="C9" s="2" t="inlineStr">
        <is>
          <t>道琼斯工业平均指数</t>
        </is>
      </c>
      <c r="D9" s="2" t="n">
        <v>51564.7</v>
      </c>
      <c r="E9" s="2" t="inlineStr">
        <is>
          <t>+0.14%</t>
        </is>
      </c>
      <c r="F9" s="2" t="inlineStr">
        <is>
          <t>道指小幅收涨</t>
        </is>
      </c>
      <c r="G9" s="2" t="n"/>
      <c r="H9" t="inlineStr">
        <is>
          <t>2026-06-18</t>
        </is>
      </c>
      <c r="I9" t="n">
        <v>4090.48</v>
      </c>
      <c r="J9" t="n">
        <v>26021.66</v>
      </c>
    </row>
    <row r="10">
      <c r="A10" s="2" t="inlineStr">
        <is>
          <t>2026-06-18</t>
        </is>
      </c>
      <c r="B10" s="2" t="inlineStr">
        <is>
          <t>美股</t>
        </is>
      </c>
      <c r="C10" s="2" t="inlineStr">
        <is>
          <t>标准普尔500指数</t>
        </is>
      </c>
      <c r="D10" s="2" t="n">
        <v>7500.58</v>
      </c>
      <c r="E10" s="2" t="inlineStr">
        <is>
          <t>+1.08%</t>
        </is>
      </c>
      <c r="F10" s="2" t="inlineStr">
        <is>
          <t>标普500涨至7500点</t>
        </is>
      </c>
      <c r="G10" s="2" t="n"/>
      <c r="H10" t="inlineStr">
        <is>
          <t>2026-06-22</t>
        </is>
      </c>
      <c r="I10" t="n">
        <v>4163.1</v>
      </c>
      <c r="K10" t="n">
        <v>4573.71</v>
      </c>
    </row>
    <row r="11">
      <c r="A11" s="2" t="inlineStr">
        <is>
          <t>2026-06-15</t>
        </is>
      </c>
      <c r="B11" s="2" t="inlineStr">
        <is>
          <t>美股</t>
        </is>
      </c>
      <c r="C11" s="2" t="inlineStr">
        <is>
          <t>标普500指数</t>
        </is>
      </c>
      <c r="D11" s="2" t="n">
        <v>7425.3</v>
      </c>
      <c r="E11" s="2" t="inlineStr">
        <is>
          <t>+0.11%</t>
        </is>
      </c>
      <c r="F11" s="2" t="inlineStr">
        <is>
          <t>市场等待美联储议息会议信号</t>
        </is>
      </c>
      <c r="G11" s="2" t="n"/>
    </row>
    <row r="12">
      <c r="A12" s="2" t="inlineStr">
        <is>
          <t>2026-04-30</t>
        </is>
      </c>
      <c r="B12" s="2" t="inlineStr">
        <is>
          <t>A股</t>
        </is>
      </c>
      <c r="C12" s="2" t="inlineStr">
        <is>
          <t>上证指数</t>
        </is>
      </c>
      <c r="D12" s="2" t="n">
        <v>3450</v>
      </c>
      <c r="E12" s="2" t="inlineStr">
        <is>
          <t>+2.1%</t>
        </is>
      </c>
      <c r="F12" s="2" t="inlineStr">
        <is>
          <t>DeepSeek V4 + GPT-5.5同期发布</t>
        </is>
      </c>
      <c r="G12" s="2" t="n"/>
    </row>
    <row r="13">
      <c r="A13" s="2" t="inlineStr">
        <is>
          <t>统计项</t>
        </is>
      </c>
      <c r="B13" s="2" t="inlineStr">
        <is>
          <t>市场</t>
        </is>
      </c>
      <c r="C13" s="2" t="inlineStr">
        <is>
          <t>指数</t>
        </is>
      </c>
      <c r="D13" s="2" t="inlineStr">
        <is>
          <t>数值</t>
        </is>
      </c>
      <c r="E13" s="2" t="inlineStr"/>
      <c r="F13" s="2" t="inlineStr"/>
      <c r="G13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标题</t>
        </is>
      </c>
      <c r="C1" s="1" t="inlineStr">
        <is>
          <t>重要程度</t>
        </is>
      </c>
      <c r="D1" s="1" t="inlineStr">
        <is>
          <t>影响评分</t>
        </is>
      </c>
      <c r="F1" t="inlineStr">
        <is>
          <t>指标</t>
        </is>
      </c>
      <c r="G1" t="inlineStr">
        <is>
          <t>数值</t>
        </is>
      </c>
    </row>
    <row r="2">
      <c r="A2" s="2" t="inlineStr">
        <is>
          <t>2026-06-12</t>
        </is>
      </c>
      <c r="B2" s="2" t="inlineStr">
        <is>
          <t>黄仁勋拒绝出席参议院AI芯片出口听证会</t>
        </is>
      </c>
      <c r="C2" s="2" t="inlineStr">
        <is>
          <t>high</t>
        </is>
      </c>
      <c r="D2" s="2" t="n">
        <v>5</v>
      </c>
    </row>
    <row r="3">
      <c r="A3" s="2" t="inlineStr">
        <is>
          <t>2026-06-12</t>
        </is>
      </c>
      <c r="B3" s="2" t="inlineStr">
        <is>
          <t>台积电CoPoS先进封装技术进入量产准备阶段</t>
        </is>
      </c>
      <c r="C3" s="2" t="inlineStr">
        <is>
          <t>medium</t>
        </is>
      </c>
      <c r="D3" s="2" t="n">
        <v>3</v>
      </c>
    </row>
    <row r="4">
      <c r="A4" s="2" t="inlineStr">
        <is>
          <t>2026-06-12</t>
        </is>
      </c>
      <c r="B4" s="2" t="inlineStr">
        <is>
          <t>华为昇腾芯片获字节跳动和阿里巴巴批量订单</t>
        </is>
      </c>
      <c r="C4" s="2" t="inlineStr">
        <is>
          <t>high</t>
        </is>
      </c>
      <c r="D4" s="2" t="n">
        <v>5</v>
      </c>
    </row>
    <row r="5">
      <c r="A5" s="2" t="inlineStr">
        <is>
          <t>2026-06-12</t>
        </is>
      </c>
      <c r="B5" s="2" t="inlineStr">
        <is>
          <t>费城半导体指数连续大涨，芯片股创一年最佳表现</t>
        </is>
      </c>
      <c r="C5" s="2" t="inlineStr">
        <is>
          <t>medium</t>
        </is>
      </c>
      <c r="D5" s="2" t="n">
        <v>3</v>
      </c>
    </row>
    <row r="6">
      <c r="A6" s="2" t="inlineStr">
        <is>
          <t>2026-06-15</t>
        </is>
      </c>
      <c r="B6" s="2" t="inlineStr">
        <is>
          <t>韩国投入8000亿韩元加速开发国产在线设备AI半导体</t>
        </is>
      </c>
      <c r="C6" s="2" t="inlineStr">
        <is>
          <t>high</t>
        </is>
      </c>
      <c r="D6" s="2" t="n">
        <v>5</v>
      </c>
    </row>
    <row r="7">
      <c r="A7" s="2" t="inlineStr">
        <is>
          <t>2026-06-15</t>
        </is>
      </c>
      <c r="B7" s="2" t="inlineStr">
        <is>
          <t>国产AI芯片巨头6月15日上会审核</t>
        </is>
      </c>
      <c r="C7" s="2" t="inlineStr">
        <is>
          <t>high</t>
        </is>
      </c>
      <c r="D7" s="2" t="n">
        <v>5</v>
      </c>
    </row>
    <row r="8">
      <c r="A8" s="2" t="inlineStr">
        <is>
          <t>2026-06-15</t>
        </is>
      </c>
      <c r="B8" s="2" t="inlineStr">
        <is>
          <t>WSTS预测2026年全球半导体市场增长90%达1.3万亿美元</t>
        </is>
      </c>
      <c r="C8" s="2" t="inlineStr">
        <is>
          <t>high</t>
        </is>
      </c>
      <c r="D8" s="2" t="n">
        <v>5</v>
      </c>
    </row>
    <row r="9">
      <c r="A9" s="2" t="inlineStr">
        <is>
          <t>2026-06-15</t>
        </is>
      </c>
      <c r="B9" s="2" t="inlineStr">
        <is>
          <t>AI拉动芯片需求，半导体ETF涨3.35%</t>
        </is>
      </c>
      <c r="C9" s="2" t="inlineStr">
        <is>
          <t>medium</t>
        </is>
      </c>
      <c r="D9" s="2" t="n">
        <v>3</v>
      </c>
    </row>
    <row r="10">
      <c r="A10" s="2" t="inlineStr">
        <is>
          <t>2026-06-15</t>
        </is>
      </c>
      <c r="B10" s="2" t="inlineStr">
        <is>
          <t>AI半导体板块6月遭遇剧烈抛售，单日市值蒸发约1.4万亿美元</t>
        </is>
      </c>
      <c r="C10" s="2" t="inlineStr">
        <is>
          <t>high</t>
        </is>
      </c>
      <c r="D10" s="2" t="n">
        <v>5</v>
      </c>
    </row>
    <row r="11">
      <c r="A11" s="2" t="inlineStr">
        <is>
          <t>2026-06-15</t>
        </is>
      </c>
      <c r="B11" s="2" t="inlineStr">
        <is>
          <t>Arm有望提前达成150亿美元AI芯片年收入目标</t>
        </is>
      </c>
      <c r="C11" s="2" t="inlineStr">
        <is>
          <t>high</t>
        </is>
      </c>
      <c r="D11" s="2" t="n">
        <v>5</v>
      </c>
    </row>
    <row r="12">
      <c r="A12" s="2" t="inlineStr">
        <is>
          <t>2026-06-18</t>
        </is>
      </c>
      <c r="B12" s="2" t="inlineStr">
        <is>
          <t>全球半导体股单日蒸发1.3万亿美元创历史最大跌幅</t>
        </is>
      </c>
      <c r="C12" s="2" t="inlineStr">
        <is>
          <t>high</t>
        </is>
      </c>
      <c r="D12" s="2" t="n">
        <v>5</v>
      </c>
    </row>
    <row r="13">
      <c r="A13" s="2" t="inlineStr">
        <is>
          <t>2026-06-18</t>
        </is>
      </c>
      <c r="B13" s="2" t="inlineStr">
        <is>
          <t>英特尔18A制程至强6+处理器发布，单线程领先AMD 30%</t>
        </is>
      </c>
      <c r="C13" s="2" t="inlineStr">
        <is>
          <t>high</t>
        </is>
      </c>
      <c r="D13" s="2" t="n">
        <v>5</v>
      </c>
    </row>
    <row r="14">
      <c r="A14" s="2" t="inlineStr">
        <is>
          <t>2026-06-18</t>
        </is>
      </c>
      <c r="B14" s="2" t="inlineStr">
        <is>
          <t>台积电全力扩产AI芯片，释放涨价信号</t>
        </is>
      </c>
      <c r="C14" s="2" t="inlineStr">
        <is>
          <t>high</t>
        </is>
      </c>
      <c r="D14" s="2" t="n">
        <v>5</v>
      </c>
    </row>
    <row r="15">
      <c r="A15" s="2" t="inlineStr">
        <is>
          <t>2026-06-22</t>
        </is>
      </c>
      <c r="B15" s="2" t="inlineStr">
        <is>
          <t>AI芯片需求推动韩国6月上旬出口强劲增长</t>
        </is>
      </c>
      <c r="C15" s="2" t="inlineStr">
        <is>
          <t>medium</t>
        </is>
      </c>
      <c r="D15" s="2" t="n">
        <v>3</v>
      </c>
    </row>
    <row r="16">
      <c r="A16" s="2" t="inlineStr">
        <is>
          <t>2026-06-22</t>
        </is>
      </c>
      <c r="B16" s="2" t="inlineStr">
        <is>
          <t>AI需求外溢至制造环节，半导体设备ETF涨近3%</t>
        </is>
      </c>
      <c r="C16" s="2" t="inlineStr">
        <is>
          <t>medium</t>
        </is>
      </c>
      <c r="D16" s="2" t="n">
        <v>3</v>
      </c>
    </row>
    <row r="17">
      <c r="A17" s="2" t="inlineStr">
        <is>
          <t>半导体设备ETF涨幅</t>
        </is>
      </c>
      <c r="B17" s="2" t="inlineStr">
        <is>
          <t>2.94%</t>
        </is>
      </c>
      <c r="C17" s="2" t="n"/>
      <c r="D17" s="2" t="n"/>
    </row>
    <row r="18">
      <c r="A18" s="2" t="inlineStr">
        <is>
          <t>韩国半导体出口增速</t>
        </is>
      </c>
      <c r="B18" s="2" t="inlineStr">
        <is>
          <t>双位数</t>
        </is>
      </c>
      <c r="C18" s="2" t="n"/>
      <c r="D18" s="2" t="n"/>
    </row>
    <row r="19">
      <c r="A19" s="2" t="inlineStr">
        <is>
          <t>全球半导体市场预测(2026)</t>
        </is>
      </c>
      <c r="B19" s="2" t="inlineStr">
        <is>
          <t>1.3万亿美元</t>
        </is>
      </c>
      <c r="C19" s="2" t="n"/>
      <c r="D1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5" customWidth="1" min="3" max="3"/>
    <col width="25" customWidth="1" min="4" max="4"/>
    <col width="25" customWidth="1" min="5" max="5"/>
    <col width="12" customWidth="1" min="6" max="6"/>
    <col width="35" customWidth="1" min="7" max="7"/>
  </cols>
  <sheetData>
    <row r="1">
      <c r="A1" s="1" t="inlineStr">
        <is>
          <t>标题</t>
        </is>
      </c>
      <c r="B1" s="1" t="inlineStr">
        <is>
          <t>会议</t>
        </is>
      </c>
      <c r="C1" s="1" t="inlineStr">
        <is>
          <t>作者</t>
        </is>
      </c>
      <c r="D1" s="1" t="inlineStr">
        <is>
          <t>机构</t>
        </is>
      </c>
      <c r="E1" s="1" t="inlineStr">
        <is>
          <t>关键指标</t>
        </is>
      </c>
      <c r="F1" s="1" t="inlineStr">
        <is>
          <t>商业潜力</t>
        </is>
      </c>
      <c r="G1" s="1" t="inlineStr">
        <is>
          <t>arXiv链接</t>
        </is>
      </c>
    </row>
    <row r="2">
      <c r="A2" s="2" t="inlineStr">
        <is>
          <t>D4RT: Unified, Fast 4D Scene Reconstruction &amp; Tracking</t>
        </is>
      </c>
      <c r="B2" s="2" t="inlineStr">
        <is>
          <t>CVPR 2026</t>
        </is>
      </c>
      <c r="C2" s="2" t="inlineStr">
        <is>
          <t>Chuhan Zhang, Guillaume Le Moing, Skanda Koppula et al.</t>
        </is>
      </c>
      <c r="D2" s="2" t="inlineStr">
        <is>
          <t>Google DeepMind, UCL, Oxford</t>
        </is>
      </c>
      <c r="E2" s="2" t="inlineStr">
        <is>
          <t>速度提升18-300x</t>
        </is>
      </c>
      <c r="F2" s="2" t="n">
        <v>3</v>
      </c>
      <c r="G2" s="2" t="inlineStr">
        <is>
          <t>https://arxiv.org/abs/2512.08924</t>
        </is>
      </c>
    </row>
    <row r="3">
      <c r="A3" s="2" t="inlineStr">
        <is>
          <t>TRELLIS.2: Native and Compact Structured Latents for 3D Generation</t>
        </is>
      </c>
      <c r="B3" s="2" t="inlineStr">
        <is>
          <t>CVPR 2026</t>
        </is>
      </c>
      <c r="C3" s="2" t="inlineStr">
        <is>
          <t>Jianfeng Xiang, Xiaoxue Chen, Sicheng Xu et al.</t>
        </is>
      </c>
      <c r="D3" s="2" t="inlineStr">
        <is>
          <t>清华大学、微软研究院、中国科学技术大学</t>
        </is>
      </c>
      <c r="E3" s="2" t="inlineStr">
        <is>
          <t>17秒生成游戏级PBR资产</t>
        </is>
      </c>
      <c r="F3" s="2" t="n">
        <v>5</v>
      </c>
      <c r="G3" s="2" t="inlineStr">
        <is>
          <t>https://arxiv.org/abs/2512.14692</t>
        </is>
      </c>
    </row>
    <row r="4">
      <c r="A4" s="2" t="inlineStr">
        <is>
          <t>NitroGen: An Open Foundation Model for Generalist Gaming Agents</t>
        </is>
      </c>
      <c r="B4" s="2" t="inlineStr">
        <is>
          <t>CVPR 2026</t>
        </is>
      </c>
      <c r="C4" s="2" t="inlineStr">
        <is>
          <t>Loic Magne et al.</t>
        </is>
      </c>
      <c r="D4" s="2" t="inlineStr">
        <is>
          <t>NVIDIA</t>
        </is>
      </c>
      <c r="E4" s="2" t="inlineStr">
        <is>
          <t>40,000小时训练数据，1000+游戏泛化</t>
        </is>
      </c>
      <c r="F4" s="2" t="n">
        <v>4</v>
      </c>
      <c r="G4" s="2" t="inlineStr">
        <is>
          <t>https://arxiv.org/abs/2601.02427</t>
        </is>
      </c>
    </row>
    <row r="5">
      <c r="A5" s="2" t="inlineStr">
        <is>
          <t>Transformers are Inherently Succinct</t>
        </is>
      </c>
      <c r="B5" s="2" t="inlineStr">
        <is>
          <t>ICLR 2026</t>
        </is>
      </c>
      <c r="C5" s="2" t="inlineStr">
        <is>
          <t>Pascal Bergstraesser, Ryan Cotterell, Anthony W. Lin</t>
        </is>
      </c>
      <c r="D5" s="2" t="inlineStr">
        <is>
          <t>ETH Zurich, MPI-SWS</t>
        </is>
      </c>
      <c r="E5" s="2" t="inlineStr">
        <is>
          <t>指数级简洁性证明 + EXPSPACE验证不可能性</t>
        </is>
      </c>
      <c r="F5" s="2" t="n">
        <v>2</v>
      </c>
      <c r="G5" s="2" t="inlineStr">
        <is>
          <t>https://arxiv.org/abs/2510.19315</t>
        </is>
      </c>
    </row>
    <row r="6">
      <c r="A6" s="2" t="inlineStr">
        <is>
          <t>LLMs Get Lost In Multi-Turn Conversation</t>
        </is>
      </c>
      <c r="B6" s="2" t="inlineStr">
        <is>
          <t>ICLR 2026</t>
        </is>
      </c>
      <c r="C6" s="2" t="inlineStr">
        <is>
          <t>Philippe Laban, Hiroaki Hayashi, Yingbo Zhou, Jennifer Neville</t>
        </is>
      </c>
      <c r="D6" s="2" t="inlineStr">
        <is>
          <t>Salesforce AI Research</t>
        </is>
      </c>
      <c r="E6" s="2" t="inlineStr">
        <is>
          <t>多轮对话性能下降39%，纠正失败率&gt;95%</t>
        </is>
      </c>
      <c r="F6" s="2" t="n">
        <v>3</v>
      </c>
      <c r="G6" s="2" t="inlineStr">
        <is>
          <t>https://arxiv.org/abs/2505.06120</t>
        </is>
      </c>
    </row>
    <row r="7">
      <c r="A7" s="2" t="inlineStr">
        <is>
          <t>OPUS: Towards Efficient and Principled Data Selection in Large Language Model Pre-training in Every Iteration</t>
        </is>
      </c>
      <c r="B7" s="2" t="inlineStr">
        <is>
          <t>ICML 2026</t>
        </is>
      </c>
      <c r="C7" s="2" t="inlineStr">
        <is>
          <t>Shaobo Wang, Xuan Ouyang, Tianyi Xu, Yuzheng Hu et al.</t>
        </is>
      </c>
      <c r="D7" s="2" t="inlineStr">
        <is>
          <t>未公开</t>
        </is>
      </c>
      <c r="E7" s="2" t="inlineStr">
        <is>
          <t>1/7数据超越全量训练</t>
        </is>
      </c>
      <c r="F7" s="2" t="n">
        <v>4</v>
      </c>
      <c r="G7" s="2" t="inlineStr">
        <is>
          <t>https://arxiv.org/abs/2602.05400</t>
        </is>
      </c>
    </row>
    <row r="8">
      <c r="A8" s="2" t="inlineStr">
        <is>
          <t>Do We Need Adam? Surprisingly Strong and Sparse Reinforcement Learning with SGD in LLMs</t>
        </is>
      </c>
      <c r="B8" s="2" t="inlineStr">
        <is>
          <t>ICML 2026</t>
        </is>
      </c>
      <c r="C8" s="2" t="inlineStr">
        <is>
          <t>Sagnik Mukherjee, Lifan Yuan, Pavan Jayasinha, Dilek Hakkani-Tuer, Hao Peng</t>
        </is>
      </c>
      <c r="D8" s="2" t="inlineStr">
        <is>
          <t>未公开</t>
        </is>
      </c>
      <c r="E8" s="2" t="inlineStr">
        <is>
          <t>0.02%参数更新匹配AdamW</t>
        </is>
      </c>
      <c r="F8" s="2" t="n">
        <v>4</v>
      </c>
      <c r="G8" s="2" t="inlineStr">
        <is>
          <t>https://arxiv.org/abs/2602.07729</t>
        </is>
      </c>
    </row>
    <row r="9">
      <c r="A9" s="2" t="inlineStr">
        <is>
          <t>Are VLMs Seeing or Just Saying? Uncovering the Illusion of Visual Perception in Multimodal LLMs</t>
        </is>
      </c>
      <c r="B9" s="2" t="inlineStr">
        <is>
          <t>ICML 2026</t>
        </is>
      </c>
      <c r="C9" s="2" t="inlineStr">
        <is>
          <t>Chufan Shi, Cheng Yang, Jiaqi Wang et al.</t>
        </is>
      </c>
      <c r="D9" s="2" t="inlineStr">
        <is>
          <t>未公开</t>
        </is>
      </c>
      <c r="E9" s="2" t="inlineStr">
        <is>
          <t>thinking模型视觉幻觉3倍于普通VLM</t>
        </is>
      </c>
      <c r="F9" s="2" t="n">
        <v>3</v>
      </c>
      <c r="G9" s="2" t="inlineStr">
        <is>
          <t>https://arxiv.org/abs/2605.15864</t>
        </is>
      </c>
    </row>
    <row r="10">
      <c r="A10" s="2" t="inlineStr">
        <is>
          <t>PP-OCRv6: From 1.5M to 34.5M Parameters, Surpassing Billion-Scale VLMs</t>
        </is>
      </c>
      <c r="B10" s="2" t="inlineStr">
        <is>
          <t>arXiv 2026</t>
        </is>
      </c>
      <c r="C10" s="2" t="inlineStr">
        <is>
          <t>百度 PaddlePaddle 团队</t>
        </is>
      </c>
      <c r="D10" s="2" t="inlineStr"/>
      <c r="E10" s="2" t="inlineStr"/>
      <c r="F10" s="2" t="n">
        <v>0</v>
      </c>
      <c r="G10" s="2" t="inlineStr">
        <is>
          <t>https://arxiv.org/abs/2606.13108</t>
        </is>
      </c>
    </row>
    <row r="11">
      <c r="A11" s="2" t="inlineStr">
        <is>
          <t>SENTINEL: Failure-Driven RL for Tool-Using LLM Agents</t>
        </is>
      </c>
      <c r="B11" s="2" t="inlineStr">
        <is>
          <t>arXiv 2026</t>
        </is>
      </c>
      <c r="C11" s="2" t="inlineStr">
        <is>
          <t>Ziyi Wang, Yuxuan Lu 等</t>
        </is>
      </c>
      <c r="D11" s="2" t="inlineStr"/>
      <c r="E11" s="2" t="inlineStr"/>
      <c r="F11" s="2" t="n">
        <v>0</v>
      </c>
      <c r="G11" s="2" t="inlineStr">
        <is>
          <t>https://arxiv.org/abs/2606.12908</t>
        </is>
      </c>
    </row>
    <row r="12">
      <c r="A12" s="2" t="inlineStr">
        <is>
          <t>Boltzmann Attention: Learnable Ising Couplings for Cooperative Attention</t>
        </is>
      </c>
      <c r="B12" s="2" t="inlineStr">
        <is>
          <t>arXiv 2026</t>
        </is>
      </c>
      <c r="C12" s="2" t="inlineStr">
        <is>
          <t>Gilhan Kim, Daniel K. Park</t>
        </is>
      </c>
      <c r="D12" s="2" t="inlineStr"/>
      <c r="E12" s="2" t="inlineStr"/>
      <c r="F12" s="2" t="n">
        <v>0</v>
      </c>
      <c r="G12" s="2" t="inlineStr">
        <is>
          <t>https://arxiv.org/abs/2606.12478</t>
        </is>
      </c>
    </row>
    <row r="13">
      <c r="A13" s="2" t="inlineStr">
        <is>
          <t>HYDRA-X: Native Unified Multimodal Models with Holistic Visual Tokenizers</t>
        </is>
      </c>
      <c r="B13" s="2" t="inlineStr">
        <is>
          <t>arXiv 2026</t>
        </is>
      </c>
      <c r="C13" s="2" t="inlineStr">
        <is>
          <t>Zhang, Qiu, Cui 等</t>
        </is>
      </c>
      <c r="D13" s="2" t="inlineStr"/>
      <c r="E13" s="2" t="inlineStr"/>
      <c r="F13" s="2" t="n">
        <v>0</v>
      </c>
      <c r="G13" s="2" t="inlineStr">
        <is>
          <t>https://arxiv.org/abs/2606.13289</t>
        </is>
      </c>
    </row>
    <row r="14">
      <c r="A14" s="2" t="inlineStr">
        <is>
          <t>The Hidden Power of Scaling Factor in LoRA Optimization</t>
        </is>
      </c>
      <c r="B14" s="2" t="inlineStr">
        <is>
          <t>arXiv 2026</t>
        </is>
      </c>
      <c r="C14" s="2" t="inlineStr">
        <is>
          <t>Zicheng Zhang, Haoran Li 等</t>
        </is>
      </c>
      <c r="D14" s="2" t="inlineStr"/>
      <c r="E14" s="2" t="inlineStr"/>
      <c r="F14" s="2" t="n">
        <v>0</v>
      </c>
      <c r="G14" s="2" t="inlineStr">
        <is>
          <t>https://arxiv.org/abs/2606.12883</t>
        </is>
      </c>
    </row>
    <row r="15">
      <c r="A15" s="2" t="inlineStr">
        <is>
          <t>PP-OCRv6: From 1.5M to 34.5M Parameters, Surpassing Billion-Scale VLMs</t>
        </is>
      </c>
      <c r="B15" s="2" t="inlineStr">
        <is>
          <t>arXiv 2026</t>
        </is>
      </c>
      <c r="C15" s="2" t="inlineStr">
        <is>
          <t>百度 PaddlePaddle 团队</t>
        </is>
      </c>
      <c r="D15" s="2" t="inlineStr"/>
      <c r="E15" s="2" t="inlineStr"/>
      <c r="F15" s="2" t="n">
        <v>0</v>
      </c>
      <c r="G15" s="2" t="inlineStr">
        <is>
          <t>https://arxiv.org/abs/2606.13108</t>
        </is>
      </c>
    </row>
    <row r="16">
      <c r="A16" s="2" t="inlineStr">
        <is>
          <t>SENTINEL: Failure-Driven Reinforcement Learning for Tool-Using LLM Agents</t>
        </is>
      </c>
      <c r="B16" s="2" t="inlineStr">
        <is>
          <t>arXiv 2026</t>
        </is>
      </c>
      <c r="C16" s="2" t="inlineStr">
        <is>
          <t>Ziyi Wang, Yuxuan Lu 等</t>
        </is>
      </c>
      <c r="D16" s="2" t="inlineStr"/>
      <c r="E16" s="2" t="inlineStr"/>
      <c r="F16" s="2" t="n">
        <v>0</v>
      </c>
      <c r="G16" s="2" t="inlineStr">
        <is>
          <t>https://arxiv.org/abs/2606.12908</t>
        </is>
      </c>
    </row>
    <row r="17">
      <c r="A17" s="2" t="inlineStr">
        <is>
          <t>Boltzmann Attention: Learnable Ising Couplings for Cooperative Attention</t>
        </is>
      </c>
      <c r="B17" s="2" t="inlineStr">
        <is>
          <t>arXiv 2026</t>
        </is>
      </c>
      <c r="C17" s="2" t="inlineStr">
        <is>
          <t>Gilhan Kim, Daniel K. Park</t>
        </is>
      </c>
      <c r="D17" s="2" t="inlineStr"/>
      <c r="E17" s="2" t="inlineStr"/>
      <c r="F17" s="2" t="n">
        <v>0</v>
      </c>
      <c r="G17" s="2" t="inlineStr">
        <is>
          <t>https://arxiv.org/abs/2606.12478</t>
        </is>
      </c>
    </row>
    <row r="18">
      <c r="A18" s="2" t="inlineStr">
        <is>
          <t>HYDRA-X: Native Unified Multimodal Models with Holistic Visual Tokenizers</t>
        </is>
      </c>
      <c r="B18" s="2" t="inlineStr">
        <is>
          <t>arXiv 2026</t>
        </is>
      </c>
      <c r="C18" s="2" t="inlineStr">
        <is>
          <t>Zhang, Qiu, Cui 等</t>
        </is>
      </c>
      <c r="D18" s="2" t="inlineStr"/>
      <c r="E18" s="2" t="inlineStr"/>
      <c r="F18" s="2" t="n">
        <v>0</v>
      </c>
      <c r="G18" s="2" t="inlineStr">
        <is>
          <t>https://arxiv.org/abs/2606.13289</t>
        </is>
      </c>
    </row>
    <row r="19">
      <c r="A19" s="2" t="inlineStr">
        <is>
          <t>The Hidden Power of Scaling Factor in LoRA Optimization</t>
        </is>
      </c>
      <c r="B19" s="2" t="inlineStr">
        <is>
          <t>arXiv 2026</t>
        </is>
      </c>
      <c r="C19" s="2" t="inlineStr">
        <is>
          <t>Zicheng Zhang, Haoran Li 等</t>
        </is>
      </c>
      <c r="D19" s="2" t="inlineStr"/>
      <c r="E19" s="2" t="inlineStr"/>
      <c r="F19" s="2" t="n">
        <v>0</v>
      </c>
      <c r="G19" s="2" t="inlineStr">
        <is>
          <t>https://arxiv.org/abs/2606.12883</t>
        </is>
      </c>
    </row>
    <row r="20">
      <c r="A20" s="2" t="inlineStr">
        <is>
          <t>ExpWeaver: LLM Agents Learn from Experience via Latent RAG</t>
        </is>
      </c>
      <c r="B20" s="2" t="inlineStr">
        <is>
          <t>arXiv 2026</t>
        </is>
      </c>
      <c r="C20" s="2" t="inlineStr">
        <is>
          <t>未公开</t>
        </is>
      </c>
      <c r="D20" s="2" t="inlineStr"/>
      <c r="E20" s="2" t="inlineStr"/>
      <c r="F20" s="2" t="n">
        <v>0</v>
      </c>
      <c r="G20" s="2" t="inlineStr">
        <is>
          <t>https://arxiv.org/abs/2606.01041</t>
        </is>
      </c>
    </row>
    <row r="21">
      <c r="A21" s="2" t="inlineStr">
        <is>
          <t>REFLECT: Intervention-Supported Error Attribution for Silent Failures in LLM Agents</t>
        </is>
      </c>
      <c r="B21" s="2" t="inlineStr">
        <is>
          <t>arXiv 2026</t>
        </is>
      </c>
      <c r="C21" s="2" t="inlineStr">
        <is>
          <t>未公开</t>
        </is>
      </c>
      <c r="D21" s="2" t="inlineStr"/>
      <c r="E21" s="2" t="inlineStr"/>
      <c r="F21" s="2" t="n">
        <v>0</v>
      </c>
      <c r="G21" s="2" t="inlineStr">
        <is>
          <t>https://arxiv.org/abs/2606.09071</t>
        </is>
      </c>
    </row>
    <row r="22">
      <c r="A22" s="2" t="inlineStr">
        <is>
          <t>PP-OCRv6: From 1.5M to 34.5M Parameters, Surpassing Billion-Scale VLMs</t>
        </is>
      </c>
      <c r="B22" s="2" t="inlineStr">
        <is>
          <t>arXiv 2026</t>
        </is>
      </c>
      <c r="C22" s="2" t="inlineStr">
        <is>
          <t>百度 PaddlePaddle 团队</t>
        </is>
      </c>
      <c r="D22" s="2" t="inlineStr">
        <is>
          <t>百度</t>
        </is>
      </c>
      <c r="E22" s="2" t="inlineStr">
        <is>
          <t>34.5M参数超越Billion-scale VLM</t>
        </is>
      </c>
      <c r="F22" s="2" t="n">
        <v>5</v>
      </c>
      <c r="G22" s="2" t="inlineStr">
        <is>
          <t>https://arxiv.org/abs/2606.13108</t>
        </is>
      </c>
    </row>
    <row r="23">
      <c r="A23" s="2" t="inlineStr">
        <is>
          <t>SENTINEL: Failure-Driven Reinforcement Learning for Tool-Using LLM Agents</t>
        </is>
      </c>
      <c r="B23" s="2" t="inlineStr">
        <is>
          <t>arXiv 2026</t>
        </is>
      </c>
      <c r="C23" s="2" t="inlineStr">
        <is>
          <t>Ziyi Wang, Yuxuan Lu 等</t>
        </is>
      </c>
      <c r="D23" s="2" t="inlineStr">
        <is>
          <t>未公开</t>
        </is>
      </c>
      <c r="E23" s="2" t="inlineStr">
        <is>
          <t>训练效率提升3-5x</t>
        </is>
      </c>
      <c r="F23" s="2" t="n">
        <v>4</v>
      </c>
      <c r="G23" s="2" t="inlineStr">
        <is>
          <t>https://arxiv.org/abs/2606.12908</t>
        </is>
      </c>
    </row>
    <row r="24">
      <c r="A24" s="2" t="inlineStr">
        <is>
          <t>Boltzmann Attention: Learnable Ising Couplings for Cooperative Attention</t>
        </is>
      </c>
      <c r="B24" s="2" t="inlineStr">
        <is>
          <t>arXiv 2026</t>
        </is>
      </c>
      <c r="C24" s="2" t="inlineStr">
        <is>
          <t>Gilhan Kim, Daniel K. Park</t>
        </is>
      </c>
      <c r="D24" s="2" t="inlineStr">
        <is>
          <t>未公开</t>
        </is>
      </c>
      <c r="E24" s="2" t="inlineStr">
        <is>
          <t>注意力协同效果提升</t>
        </is>
      </c>
      <c r="F24" s="2" t="n">
        <v>2</v>
      </c>
      <c r="G24" s="2" t="inlineStr">
        <is>
          <t>https://arxiv.org/abs/2606.12478</t>
        </is>
      </c>
    </row>
    <row r="25">
      <c r="A25" s="2" t="inlineStr">
        <is>
          <t>HYDRA-X: Native Unified Multimodal Models with Holistic Visual Tokenizers</t>
        </is>
      </c>
      <c r="B25" s="2" t="inlineStr">
        <is>
          <t>arXiv 2026</t>
        </is>
      </c>
      <c r="C25" s="2" t="inlineStr">
        <is>
          <t>Zhang, Qiu, Cui 等</t>
        </is>
      </c>
      <c r="D25" s="2" t="inlineStr">
        <is>
          <t>未公开</t>
        </is>
      </c>
      <c r="E25" s="2" t="inlineStr">
        <is>
          <t>统一多模态架构</t>
        </is>
      </c>
      <c r="F25" s="2" t="n">
        <v>4</v>
      </c>
      <c r="G25" s="2" t="inlineStr">
        <is>
          <t>https://arxiv.org/abs/2606.13289</t>
        </is>
      </c>
    </row>
    <row r="26">
      <c r="A26" s="2" t="inlineStr">
        <is>
          <t>The Hidden Power of Scaling Factor in LoRA Optimization</t>
        </is>
      </c>
      <c r="B26" s="2" t="inlineStr">
        <is>
          <t>arXiv 2026</t>
        </is>
      </c>
      <c r="C26" s="2" t="inlineStr">
        <is>
          <t>Zicheng Zhang, Haoran Li 等</t>
        </is>
      </c>
      <c r="D26" s="2" t="inlineStr">
        <is>
          <t>未公开</t>
        </is>
      </c>
      <c r="E26" s="2" t="inlineStr">
        <is>
          <t>NLP/CV任务提升1-3pp</t>
        </is>
      </c>
      <c r="F26" s="2" t="n">
        <v>3</v>
      </c>
      <c r="G26" s="2" t="inlineStr">
        <is>
          <t>https://arxiv.org/abs/2606.12883</t>
        </is>
      </c>
    </row>
    <row r="27">
      <c r="A27" s="2" t="inlineStr">
        <is>
          <t>ExpWeaver: LLM Agents Learn from Experience via Latent RAG</t>
        </is>
      </c>
      <c r="B27" s="2" t="inlineStr">
        <is>
          <t>arXiv 2026</t>
        </is>
      </c>
      <c r="C27" s="2" t="inlineStr">
        <is>
          <t>未公开</t>
        </is>
      </c>
      <c r="D27" s="2" t="inlineStr">
        <is>
          <t>未公开</t>
        </is>
      </c>
      <c r="E27" s="2" t="inlineStr">
        <is>
          <t>Agent经验复用</t>
        </is>
      </c>
      <c r="F27" s="2" t="n">
        <v>3</v>
      </c>
      <c r="G27" s="2" t="inlineStr">
        <is>
          <t>https://arxiv.org/abs/2606.01041</t>
        </is>
      </c>
    </row>
    <row r="28">
      <c r="A28" s="2" t="inlineStr">
        <is>
          <t>REFLECT: Intervention-Supported Error Attribution for Silent Failures in LLM Agents</t>
        </is>
      </c>
      <c r="B28" s="2" t="inlineStr">
        <is>
          <t>arXiv 2026</t>
        </is>
      </c>
      <c r="C28" s="2" t="inlineStr">
        <is>
          <t>未公开</t>
        </is>
      </c>
      <c r="D28" s="2" t="inlineStr">
        <is>
          <t>未公开</t>
        </is>
      </c>
      <c r="E28" s="2" t="inlineStr">
        <is>
          <t>错误检测率+40%</t>
        </is>
      </c>
      <c r="F28" s="2" t="n">
        <v>3</v>
      </c>
      <c r="G28" s="2" t="inlineStr">
        <is>
          <t>https://arxiv.org/abs/2606.09071</t>
        </is>
      </c>
    </row>
    <row r="29">
      <c r="A29" s="2" t="inlineStr">
        <is>
          <t>Gaze Heads: How VLMs Look at What They Describe</t>
        </is>
      </c>
      <c r="B29" s="2" t="inlineStr">
        <is>
          <t>arXiv 2026</t>
        </is>
      </c>
      <c r="C29" s="2" t="inlineStr">
        <is>
          <t>Rohit Gandikota, David Bau</t>
        </is>
      </c>
      <c r="D29" s="2" t="inlineStr">
        <is>
          <t>Northeastern University</t>
        </is>
      </c>
      <c r="E29" s="2" t="inlineStr">
        <is>
          <t>揭示VLM跨模态对齐新机制</t>
        </is>
      </c>
      <c r="F29" s="2" t="n">
        <v>3</v>
      </c>
      <c r="G29" s="2" t="inlineStr">
        <is>
          <t>https://arxiv.org/abs/2606.14703</t>
        </is>
      </c>
    </row>
    <row r="30">
      <c r="A30" s="2" t="inlineStr">
        <is>
          <t>OmniVideo-100K: A Dataset for Audio-Visual Reasoning through Structured Scripts and Evidence Chains</t>
        </is>
      </c>
      <c r="B30" s="2" t="inlineStr">
        <is>
          <t>arXiv 2026</t>
        </is>
      </c>
      <c r="C30" s="2" t="inlineStr">
        <is>
          <t>Xinyue Cai, Chaoyou Fu, Yi-Fan Zhang, Ran He, Caifeng Shan</t>
        </is>
      </c>
      <c r="D30" s="2" t="inlineStr">
        <is>
          <t>南京大学、中国科学院自动化研究所</t>
        </is>
      </c>
      <c r="E30" s="2" t="inlineStr">
        <is>
          <t>10万级结构化音视频推理数据集</t>
        </is>
      </c>
      <c r="F30" s="2" t="n">
        <v>4</v>
      </c>
      <c r="G30" s="2" t="inlineStr">
        <is>
          <t>https://arxiv.org/abs/2606.14702</t>
        </is>
      </c>
    </row>
    <row r="31">
      <c r="A31" s="2" t="inlineStr">
        <is>
          <t>RATS! Patches Talk Through Registers: Emergent Parts in Register Attention Transformers</t>
        </is>
      </c>
      <c r="B31" s="2" t="inlineStr">
        <is>
          <t>arXiv 2026</t>
        </is>
      </c>
      <c r="C31" s="2" t="inlineStr">
        <is>
          <t>Timing Yang, Predrag Neskovic, Jansen Seheult, Wenchao Han, Anand Bhattad, Alan Yuille, Feng Wang</t>
        </is>
      </c>
      <c r="D31" s="2" t="inlineStr">
        <is>
          <t>Johns Hopkins University, 美国海军研究办公室, Mayo Clinic</t>
        </is>
      </c>
      <c r="E31" s="2" t="inlineStr">
        <is>
          <t>无监督视觉概念学习新路径</t>
        </is>
      </c>
      <c r="F31" s="2" t="n">
        <v>3</v>
      </c>
      <c r="G31" s="2" t="inlineStr">
        <is>
          <t>https://arxiv.org/abs/2606.14701</t>
        </is>
      </c>
    </row>
    <row r="32">
      <c r="A32" s="2" t="inlineStr">
        <is>
          <t>RepFusion: Leveraging Multimodal Priors for Denoising in Representation Space</t>
        </is>
      </c>
      <c r="B32" s="2" t="inlineStr">
        <is>
          <t>arXiv 2026</t>
        </is>
      </c>
      <c r="C32" s="2" t="inlineStr">
        <is>
          <t>Xichen Pan, Aashu Singh, Satya Narayan Shukla, Xiangjun Fan, Shlok Kumar Mishra, Saining Xie</t>
        </is>
      </c>
      <c r="D32" s="2" t="inlineStr">
        <is>
          <t>Meta AI, New York University</t>
        </is>
      </c>
      <c r="E32" s="2" t="inlineStr">
        <is>
          <t>相近推理预算下优于全新去噪网络</t>
        </is>
      </c>
      <c r="F32" s="2" t="n">
        <v>4</v>
      </c>
      <c r="G32" s="2" t="inlineStr">
        <is>
          <t>https://arxiv.org/abs/2606.14700</t>
        </is>
      </c>
    </row>
    <row r="33">
      <c r="A33" s="2" t="inlineStr">
        <is>
          <t>AdaSR: Adaptive Streaming Reasoning with Hierarchical Relative Policy Optimization</t>
        </is>
      </c>
      <c r="B33" s="2" t="inlineStr">
        <is>
          <t>arXiv 2026</t>
        </is>
      </c>
      <c r="C33" s="2" t="inlineStr">
        <is>
          <t>Junlong Tong, Wenqi Xu, Yingqi Fan, Anhao Zhao, Xuan Lu, Yang Tan, Xiaoyu Shen</t>
        </is>
      </c>
      <c r="D33" s="2" t="inlineStr">
        <is>
          <t>东方理工高等研究院、上海交通大学、香港理工大学、东南大学、西交利物浦大学</t>
        </is>
      </c>
      <c r="E33" s="2" t="inlineStr">
        <is>
          <t>流式推理延迟突破</t>
        </is>
      </c>
      <c r="F33" s="2" t="n">
        <v>4</v>
      </c>
      <c r="G33" s="2" t="inlineStr">
        <is>
          <t>https://arxiv.org/abs/2606.14694</t>
        </is>
      </c>
    </row>
    <row r="34">
      <c r="A34" s="2" t="inlineStr">
        <is>
          <t>CORA: Analyzing and Bridging Thinking-Answer Gap in Multimodal RLVR via Consistency-Oriented Reasoning Alignment</t>
        </is>
      </c>
      <c r="B34" s="2" t="inlineStr">
        <is>
          <t>arXiv 2026</t>
        </is>
      </c>
      <c r="C34" s="2" t="inlineStr">
        <is>
          <t>Jiayue Cao, Zhicong Lu, Xuehan Sun, Wei Jia, Hongling Zheng, Changyuan Tian, Zichuan Lin, Wenqian Lv, Nayu Liu</t>
        </is>
      </c>
      <c r="D34" s="2" t="inlineStr">
        <is>
          <t>中国科学院大学、武汉大学、清华大学、天津大学</t>
        </is>
      </c>
      <c r="E34" s="2" t="inlineStr">
        <is>
          <t>多模态推理基准性能显著提升</t>
        </is>
      </c>
      <c r="F34" s="2" t="n">
        <v>4</v>
      </c>
      <c r="G34" s="2" t="inlineStr">
        <is>
          <t>https://arxiv.org/abs/2606.14691</t>
        </is>
      </c>
    </row>
    <row r="35">
      <c r="A35" s="2" t="inlineStr">
        <is>
          <t>Persona-Pruner: Sculpting Lightweight Models for Role-Playing</t>
        </is>
      </c>
      <c r="B35" s="2" t="inlineStr">
        <is>
          <t>ICML 2026</t>
        </is>
      </c>
      <c r="C35" s="2" t="inlineStr">
        <is>
          <t>Jinsu Kim, Jihoon Tack, Noah Lee, Jongheon Jeong</t>
        </is>
      </c>
      <c r="D35" s="2" t="inlineStr">
        <is>
          <t>Korea University — TAIL Lab</t>
        </is>
      </c>
      <c r="E35" s="2" t="inlineStr">
        <is>
          <t>角色专属子网络压缩</t>
        </is>
      </c>
      <c r="F35" s="2" t="n">
        <v>4</v>
      </c>
      <c r="G35" s="2" t="inlineStr">
        <is>
          <t>https://arxiv.org/abs/2606.14695</t>
        </is>
      </c>
    </row>
    <row r="36">
      <c r="A36" s="2" t="inlineStr">
        <is>
          <t>Instruct-Particulate: Scaling Feed-Forward 3D Object Articulation with Kinematic Control</t>
        </is>
      </c>
      <c r="B36" s="2" t="inlineStr">
        <is>
          <t>arXiv 2026</t>
        </is>
      </c>
      <c r="C36" s="2" t="inlineStr">
        <is>
          <t>Ruining Li, Yuxin Yao, Matt Zhou, Chuanxia Zheng, Christian Rupprecht, Joan Lasenby, Shangzhe Wu, Andrea Vedaldi</t>
        </is>
      </c>
      <c r="D36" s="2" t="inlineStr">
        <is>
          <t>牛津大学、剑桥大学、南洋理工大学</t>
        </is>
      </c>
      <c r="E36" s="2" t="inlineStr">
        <is>
          <t>3D关节物体生成效率大幅提升</t>
        </is>
      </c>
      <c r="F36" s="2" t="n">
        <v>4</v>
      </c>
      <c r="G36" s="2" t="inlineStr">
        <is>
          <t>https://arxiv.org/abs/2606.14699</t>
        </is>
      </c>
    </row>
    <row r="37">
      <c r="A37" s="2" t="inlineStr">
        <is>
          <t>Marginal Advantage Accumulation for Memory-Driven Agent Self-Evolution</t>
        </is>
      </c>
      <c r="B37" s="2" t="inlineStr">
        <is>
          <t>arXiv 2026</t>
        </is>
      </c>
      <c r="C37" s="2" t="inlineStr">
        <is>
          <t>Mingyu Yang, Keye Zheng, Congchao Cheng 等</t>
        </is>
      </c>
      <c r="D37" s="2" t="inlineStr">
        <is>
          <t>未公开</t>
        </is>
      </c>
      <c r="E37" s="2" t="inlineStr">
        <is>
          <t>记忆驱动自我进化</t>
        </is>
      </c>
      <c r="F37" s="2" t="n">
        <v>4</v>
      </c>
      <c r="G37" s="2" t="inlineStr">
        <is>
          <t>https://arxiv.org/abs/2606.20475</t>
        </is>
      </c>
    </row>
    <row r="38">
      <c r="A38" s="2" t="inlineStr">
        <is>
          <t>Contagion Networks: Evaluator Bias Propagation in Multi-Agent LLM Systems</t>
        </is>
      </c>
      <c r="B38" s="2" t="inlineStr">
        <is>
          <t>arXiv 2026</t>
        </is>
      </c>
      <c r="C38" s="2" t="inlineStr">
        <is>
          <t>Zewen Liu 等</t>
        </is>
      </c>
      <c r="D38" s="2" t="inlineStr">
        <is>
          <t>未公开</t>
        </is>
      </c>
      <c r="E38" s="2" t="inlineStr">
        <is>
          <t>评估者偏见传播建模</t>
        </is>
      </c>
      <c r="F38" s="2" t="n">
        <v>3</v>
      </c>
      <c r="G38" s="2" t="inlineStr">
        <is>
          <t>https://arxiv.org/abs/2606.20493</t>
        </is>
      </c>
    </row>
    <row r="39">
      <c r="A39" s="2" t="inlineStr">
        <is>
          <t>Beyond Global Replanning: Hierarchical Recovery for Cross-Device Agent Systems</t>
        </is>
      </c>
      <c r="B39" s="2" t="inlineStr">
        <is>
          <t>arXiv 2026</t>
        </is>
      </c>
      <c r="C39" s="2" t="inlineStr">
        <is>
          <t>Yao 等</t>
        </is>
      </c>
      <c r="D39" s="2" t="inlineStr">
        <is>
          <t>未公开</t>
        </is>
      </c>
      <c r="E39" s="2" t="inlineStr">
        <is>
          <t>跨设备Agent容错提升</t>
        </is>
      </c>
      <c r="F39" s="2" t="n">
        <v>4</v>
      </c>
      <c r="G39" s="2" t="inlineStr">
        <is>
          <t>https://arxiv.org/abs/2606.20487</t>
        </is>
      </c>
    </row>
    <row r="40">
      <c r="A40" s="2" t="inlineStr">
        <is>
          <t>Your Mouse and Eyes Secretly Leak Your Preference: LLM Alignment using Implicit Feedback from Users</t>
        </is>
      </c>
      <c r="B40" s="2" t="inlineStr">
        <is>
          <t>arXiv 2026</t>
        </is>
      </c>
      <c r="C40" s="2" t="inlineStr">
        <is>
          <t>Chang 等</t>
        </is>
      </c>
      <c r="D40" s="2" t="inlineStr">
        <is>
          <t>未公开</t>
        </is>
      </c>
      <c r="E40" s="2" t="inlineStr">
        <is>
          <t>隐式反馈对齐</t>
        </is>
      </c>
      <c r="F40" s="2" t="n">
        <v>4</v>
      </c>
      <c r="G40" s="2" t="inlineStr">
        <is>
          <t>https://arxiv.org/abs/2606.20482</t>
        </is>
      </c>
    </row>
    <row r="41">
      <c r="A41" s="2" t="inlineStr">
        <is>
          <t>StylisticBias: A Few Human Visual Cues Drive Most Social Biases in MLLMs</t>
        </is>
      </c>
      <c r="B41" s="2" t="inlineStr">
        <is>
          <t>arXiv 2026</t>
        </is>
      </c>
      <c r="C41" s="2" t="inlineStr">
        <is>
          <t>Kolli 等</t>
        </is>
      </c>
      <c r="D41" s="2" t="inlineStr">
        <is>
          <t>未公开</t>
        </is>
      </c>
      <c r="E41" s="2" t="inlineStr">
        <is>
          <t>社会偏见新靶点</t>
        </is>
      </c>
      <c r="F41" s="2" t="n">
        <v>3</v>
      </c>
      <c r="G41" s="2" t="inlineStr">
        <is>
          <t>https://arxiv.org/abs/2606.20527</t>
        </is>
      </c>
    </row>
    <row r="42">
      <c r="A42" s="2" t="inlineStr">
        <is>
          <t>Toward Calibrated Mixture-of-Experts Under Distribution Shift</t>
        </is>
      </c>
      <c r="B42" s="2" t="inlineStr">
        <is>
          <t>arXiv 2026</t>
        </is>
      </c>
      <c r="C42" s="2" t="inlineStr">
        <is>
          <t>Gina Wong, Drew Prinster, Suchi Saria, Rama Chellappa, Anqi Liu</t>
        </is>
      </c>
      <c r="D42" s="2" t="inlineStr">
        <is>
          <t>未公开</t>
        </is>
      </c>
      <c r="E42" s="2" t="inlineStr">
        <is>
          <t>MoE分布偏移校准</t>
        </is>
      </c>
      <c r="F42" s="2" t="n">
        <v>3</v>
      </c>
      <c r="G42" s="2" t="inlineStr">
        <is>
          <t>https://arxiv.org/abs/2606.20544</t>
        </is>
      </c>
    </row>
    <row r="43">
      <c r="A43" s="2" t="inlineStr">
        <is>
          <t>The Token Is a Group Element: On Lie-Algebra Attention over Matrix Lie Groups</t>
        </is>
      </c>
      <c r="B43" s="2" t="inlineStr">
        <is>
          <t>arXiv 2026</t>
        </is>
      </c>
      <c r="C43" s="2" t="inlineStr">
        <is>
          <t>Przemyslaw Musialski 等</t>
        </is>
      </c>
      <c r="D43" s="2" t="inlineStr">
        <is>
          <t>未公开</t>
        </is>
      </c>
      <c r="E43" s="2" t="inlineStr">
        <is>
          <t>几何化注意力</t>
        </is>
      </c>
      <c r="F43" s="2" t="n">
        <v>2</v>
      </c>
      <c r="G43" s="2" t="inlineStr">
        <is>
          <t>https://arxiv.org/abs/2606.20547</t>
        </is>
      </c>
    </row>
    <row r="44">
      <c r="A44" s="2" t="inlineStr">
        <is>
          <t>How Transparent is DiffusionGemma?</t>
        </is>
      </c>
      <c r="B44" s="2" t="inlineStr">
        <is>
          <t>arXiv 2026</t>
        </is>
      </c>
      <c r="C44" s="2" t="inlineStr">
        <is>
          <t>Joshua Engels</t>
        </is>
      </c>
      <c r="D44" s="2" t="inlineStr">
        <is>
          <t>未公开</t>
        </is>
      </c>
      <c r="E44" s="2" t="inlineStr">
        <is>
          <t>扩散模型可解释性</t>
        </is>
      </c>
      <c r="F44" s="2" t="n">
        <v>2</v>
      </c>
      <c r="G44" s="2" t="inlineStr">
        <is>
          <t>https://arxiv.org/abs/2606.20560</t>
        </is>
      </c>
    </row>
  </sheetData>
  <conditionalFormatting sqref="F2:F44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2" customWidth="1" min="4" max="4"/>
    <col width="50" customWidth="1" min="5" max="5"/>
    <col width="25" customWidth="1" min="6" max="6"/>
    <col width="35" customWidth="1" min="7" max="7"/>
  </cols>
  <sheetData>
    <row r="1">
      <c r="A1" s="1" t="inlineStr">
        <is>
          <t>日期</t>
        </is>
      </c>
      <c r="B1" s="1" t="inlineStr">
        <is>
          <t>标题</t>
        </is>
      </c>
      <c r="C1" s="1" t="inlineStr">
        <is>
          <t>类别</t>
        </is>
      </c>
      <c r="D1" s="1" t="inlineStr">
        <is>
          <t>重要程度</t>
        </is>
      </c>
      <c r="E1" s="1" t="inlineStr">
        <is>
          <t>摘要</t>
        </is>
      </c>
      <c r="F1" s="1" t="inlineStr">
        <is>
          <t>关键数据</t>
        </is>
      </c>
      <c r="G1" s="1" t="inlineStr">
        <is>
          <t>影响</t>
        </is>
      </c>
    </row>
    <row r="2">
      <c r="A2" s="2" t="inlineStr">
        <is>
          <t>2026-01-05</t>
        </is>
      </c>
      <c r="B2" s="2" t="inlineStr">
        <is>
          <t>AMD CES 2026全面扩展AI布局</t>
        </is>
      </c>
      <c r="C2" s="2" t="inlineStr">
        <is>
          <t>半导体</t>
        </is>
      </c>
      <c r="D2" s="2" t="n">
        <v>4</v>
      </c>
      <c r="E2" s="2" t="inlineStr">
        <is>
          <t>AMD发布新款锐龙处理器、Ryzen AI及AMD ROCm，全面扩展客户端、图形和AI领域领导力</t>
        </is>
      </c>
      <c r="F2" s="2" t="inlineStr">
        <is>
          <t>全面扩展客户端、图形和AI领域领导力</t>
        </is>
      </c>
      <c r="G2" s="2" t="inlineStr">
        <is>
          <t>AI硬件竞争加剧</t>
        </is>
      </c>
    </row>
    <row r="3">
      <c r="A3" s="2" t="inlineStr">
        <is>
          <t>2026-01-06</t>
        </is>
      </c>
      <c r="B3" s="2" t="inlineStr">
        <is>
          <t>CES 2026：AI硬件与机器人走出实验室</t>
        </is>
      </c>
      <c r="C3" s="2" t="inlineStr">
        <is>
          <t>AI</t>
        </is>
      </c>
      <c r="D3" s="2" t="n">
        <v>4</v>
      </c>
      <c r="E3" s="2" t="inlineStr">
        <is>
          <t>4500余家科技企业参展，AI PC、AI眼镜、AI机器人、数字健康成为六大前沿趋势。现代汽车展示波士顿动力新一代Atlas机器人</t>
        </is>
      </c>
      <c r="F3" s="2" t="inlineStr">
        <is>
          <t>4500+企业参展</t>
        </is>
      </c>
      <c r="G3" s="2" t="inlineStr">
        <is>
          <t>AI硬件产业化加速</t>
        </is>
      </c>
    </row>
    <row r="4">
      <c r="A4" s="2" t="inlineStr">
        <is>
          <t>2026-01-08</t>
        </is>
      </c>
      <c r="B4" s="2" t="inlineStr">
        <is>
          <t>小米玄戒O1获最高技术大奖</t>
        </is>
      </c>
      <c r="C4" s="2" t="inlineStr">
        <is>
          <t>半导体</t>
        </is>
      </c>
      <c r="D4" s="2" t="n">
        <v>3</v>
      </c>
      <c r="E4" s="2" t="inlineStr">
        <is>
          <t>小米自研芯片玄戒O1斩获最高奖，雷军宣布未来五年研发投入2000亿元。玄戒O2预计2026年8月上市</t>
        </is>
      </c>
      <c r="F4" s="2" t="inlineStr">
        <is>
          <t>五年研发投入2000亿元</t>
        </is>
      </c>
      <c r="G4" s="2" t="inlineStr">
        <is>
          <t>中国自研芯片持续突破</t>
        </is>
      </c>
    </row>
    <row r="5">
      <c r="A5" s="2" t="inlineStr">
        <is>
          <t>2026-01-09</t>
        </is>
      </c>
      <c r="B5" s="2" t="inlineStr">
        <is>
          <t>周鸿祎发布2026年20个AI预言</t>
        </is>
      </c>
      <c r="C5" s="2" t="inlineStr">
        <is>
          <t>AI</t>
        </is>
      </c>
      <c r="D5" s="2" t="n">
        <v>2</v>
      </c>
      <c r="E5" s="2" t="inlineStr">
        <is>
          <t>360集团创始人预言2026年将成为'百亿智能体时代'的开端，Agent框架和企业级应用将迎来爆发</t>
        </is>
      </c>
      <c r="F5" s="2" t="inlineStr">
        <is>
          <t>百亿智能体时代</t>
        </is>
      </c>
      <c r="G5" s="2" t="inlineStr">
        <is>
          <t>AI Agent产业预期升温</t>
        </is>
      </c>
    </row>
    <row r="6">
      <c r="A6" s="2" t="inlineStr">
        <is>
          <t>2026-01-20</t>
        </is>
      </c>
      <c r="B6" s="2" t="inlineStr">
        <is>
          <t>DeepSeek新模型预热</t>
        </is>
      </c>
      <c r="C6" s="2" t="inlineStr">
        <is>
          <t>AI</t>
        </is>
      </c>
      <c r="D6" s="2" t="n">
        <v>3</v>
      </c>
      <c r="E6" s="2" t="inlineStr">
        <is>
          <t>代号为'Model1'的模型意外出现在测试平台，引发市场对DeepSeek下一代模型的广泛猜想</t>
        </is>
      </c>
      <c r="F6" s="2" t="inlineStr">
        <is>
          <t>Model1测试泄露</t>
        </is>
      </c>
      <c r="G6" s="2" t="inlineStr">
        <is>
          <t>市场对DeepSeek V4期待升温</t>
        </is>
      </c>
    </row>
    <row r="7">
      <c r="A7" s="2" t="inlineStr">
        <is>
          <t>2026-01-22</t>
        </is>
      </c>
      <c r="B7" s="2" t="inlineStr">
        <is>
          <t>百度文心Moment大会</t>
        </is>
      </c>
      <c r="C7" s="2" t="inlineStr">
        <is>
          <t>AI</t>
        </is>
      </c>
      <c r="D7" s="2" t="n">
        <v>3</v>
      </c>
      <c r="E7" s="2" t="inlineStr">
        <is>
          <t>百度在上海举办文心Moment大会，发布文心大模型最新进展及行业应用</t>
        </is>
      </c>
      <c r="F7" s="2" t="inlineStr">
        <is>
          <t>文心大模型行业应用发布</t>
        </is>
      </c>
      <c r="G7" s="2" t="inlineStr">
        <is>
          <t>国内大模型竞争持续</t>
        </is>
      </c>
    </row>
    <row r="8">
      <c r="A8" s="2" t="inlineStr">
        <is>
          <t>2026-02-01</t>
        </is>
      </c>
      <c r="B8" s="2" t="inlineStr">
        <is>
          <t>优必选发布开源具身智能模型Thinker</t>
        </is>
      </c>
      <c r="C8" s="2" t="inlineStr">
        <is>
          <t>AI</t>
        </is>
      </c>
      <c r="D8" s="2" t="n">
        <v>3</v>
      </c>
      <c r="E8" s="2" t="inlineStr">
        <is>
          <t>开源具身智能模型Thinker，参数规模4B，具备任务规划、空间建模与时序推理能力</t>
        </is>
      </c>
      <c r="F8" s="2" t="inlineStr">
        <is>
          <t>4B参数，开源</t>
        </is>
      </c>
      <c r="G8" s="2" t="inlineStr">
        <is>
          <t>具身智能开源生态建设</t>
        </is>
      </c>
    </row>
    <row r="9">
      <c r="A9" s="2" t="inlineStr">
        <is>
          <t>2026-02-06</t>
        </is>
      </c>
      <c r="B9" s="2" t="inlineStr">
        <is>
          <t>三星激进目标：2026年2nm芯片订单增长130%</t>
        </is>
      </c>
      <c r="C9" s="2" t="inlineStr">
        <is>
          <t>半导体</t>
        </is>
      </c>
      <c r="D9" s="2" t="n">
        <v>4</v>
      </c>
      <c r="E9" s="2" t="inlineStr">
        <is>
          <t>三星电子代工部门计划2nm芯片订单量同比增长130%，2nm GAA工艺良率已达到50%以上</t>
        </is>
      </c>
      <c r="F9" s="2" t="inlineStr">
        <is>
          <t>2nm订单目标增长130%</t>
        </is>
      </c>
      <c r="G9" s="2" t="inlineStr">
        <is>
          <t>先进制程竞争白热化</t>
        </is>
      </c>
    </row>
    <row r="10">
      <c r="A10" s="2" t="inlineStr">
        <is>
          <t>2026-02-12</t>
        </is>
      </c>
      <c r="B10" s="2" t="inlineStr">
        <is>
          <t>Google发布Gemini 3 Deep Think</t>
        </is>
      </c>
      <c r="C10" s="2" t="inlineStr">
        <is>
          <t>AI</t>
        </is>
      </c>
      <c r="D10" s="2" t="n">
        <v>4</v>
      </c>
      <c r="E10" s="2" t="inlineStr">
        <is>
          <t>专为科学研究与工程难题设计，标志着Gemini系列在深度推理方向的重大升级</t>
        </is>
      </c>
      <c r="F10" s="2" t="inlineStr">
        <is>
          <t>深度推理专用模型</t>
        </is>
      </c>
      <c r="G10" s="2" t="inlineStr">
        <is>
          <t>AI推理能力新突破</t>
        </is>
      </c>
    </row>
    <row r="11">
      <c r="A11" s="2" t="inlineStr">
        <is>
          <t>2026-02-14</t>
        </is>
      </c>
      <c r="B11" s="2" t="inlineStr">
        <is>
          <t>字节跳动发布豆包大模型2.0</t>
        </is>
      </c>
      <c r="C11" s="2" t="inlineStr">
        <is>
          <t>AI</t>
        </is>
      </c>
      <c r="D11" s="2" t="n">
        <v>5</v>
      </c>
      <c r="E11" s="2" t="inlineStr">
        <is>
          <t>包含1万亿参数基础模型，重点提升企业级Agent能力与复杂任务执行能力，支撑亿级用户场景</t>
        </is>
      </c>
      <c r="F11" s="2" t="inlineStr">
        <is>
          <t>1万亿参数</t>
        </is>
      </c>
      <c r="G11" s="2" t="inlineStr">
        <is>
          <t>中国大模型进入万亿参数时代</t>
        </is>
      </c>
    </row>
    <row r="12">
      <c r="A12" s="2" t="inlineStr">
        <is>
          <t>2026-03-01</t>
        </is>
      </c>
      <c r="B12" s="2" t="inlineStr">
        <is>
          <t>中国芯片出口强劲开局</t>
        </is>
      </c>
      <c r="C12" s="2" t="inlineStr">
        <is>
          <t>半导体</t>
        </is>
      </c>
      <c r="D12" s="2" t="n">
        <v>5</v>
      </c>
      <c r="E12" s="2" t="inlineStr">
        <is>
          <t>2026年1-2月中国集成电路出口额约433亿美元，同比暴涨72.6%，成熟制程芯片成为出口主力</t>
        </is>
      </c>
      <c r="F12" s="2" t="inlineStr">
        <is>
          <t>出口额433亿美元，同比+72.6%</t>
        </is>
      </c>
      <c r="G12" s="2" t="inlineStr">
        <is>
          <t>中国芯片全球竞争力提升</t>
        </is>
      </c>
    </row>
    <row r="13">
      <c r="A13" s="2" t="inlineStr">
        <is>
          <t>2026-03-01</t>
        </is>
      </c>
      <c r="B13" s="2" t="inlineStr">
        <is>
          <t>三星2nm工艺良率突破60%</t>
        </is>
      </c>
      <c r="C13" s="2" t="inlineStr">
        <is>
          <t>半导体</t>
        </is>
      </c>
      <c r="D13" s="2" t="n">
        <v>4</v>
      </c>
      <c r="E13" s="2" t="inlineStr">
        <is>
          <t>三星2纳米GAA工艺良率已突破60%，较2025年下半年约20%大幅提升，商业化进程显著提速</t>
        </is>
      </c>
      <c r="F13" s="2" t="inlineStr">
        <is>
          <t>良率从20%突破至60%</t>
        </is>
      </c>
      <c r="G13" s="2" t="inlineStr">
        <is>
          <t>先进制程双寡头格局巩固</t>
        </is>
      </c>
    </row>
    <row r="14">
      <c r="A14" s="2" t="inlineStr">
        <is>
          <t>2026-03-01</t>
        </is>
      </c>
      <c r="B14" s="2" t="inlineStr">
        <is>
          <t>国产大模型全球调用量首次反超海外</t>
        </is>
      </c>
      <c r="C14" s="2" t="inlineStr">
        <is>
          <t>AI</t>
        </is>
      </c>
      <c r="D14" s="2" t="n">
        <v>4</v>
      </c>
      <c r="E14" s="2" t="inlineStr">
        <is>
          <t>MiniMax、阿里通义千问等国产旗舰模型在推理效率、上下文长度和成本优化上表现突出</t>
        </is>
      </c>
      <c r="F14" s="2" t="inlineStr">
        <is>
          <t>调用量首次反超海外模型</t>
        </is>
      </c>
      <c r="G14" s="2" t="inlineStr">
        <is>
          <t>中国AI大模型竞争力拐点</t>
        </is>
      </c>
    </row>
    <row r="15">
      <c r="A15" s="2" t="inlineStr">
        <is>
          <t>2026-03-08</t>
        </is>
      </c>
      <c r="B15" s="2" t="inlineStr">
        <is>
          <t>特斯拉Optimus Gen3量产在即</t>
        </is>
      </c>
      <c r="C15" s="2" t="inlineStr">
        <is>
          <t>AI</t>
        </is>
      </c>
      <c r="D15" s="2" t="n">
        <v>4</v>
      </c>
      <c r="E15" s="2" t="inlineStr">
        <is>
          <t>市场聚焦特斯拉第三代Optimus人形机器人，预计2026年Q1正式亮相并启动量产</t>
        </is>
      </c>
      <c r="F15" s="2" t="inlineStr">
        <is>
          <t>远期目标年产百万台</t>
        </is>
      </c>
      <c r="G15" s="2" t="inlineStr">
        <is>
          <t>人形机器人产业化加速</t>
        </is>
      </c>
    </row>
    <row r="16">
      <c r="A16" s="2" t="inlineStr">
        <is>
          <t>2026-03-16</t>
        </is>
      </c>
      <c r="B16" s="2" t="inlineStr">
        <is>
          <t>NVIDIA GTC 2026：Vera Rubin平台登场</t>
        </is>
      </c>
      <c r="C16" s="2" t="inlineStr">
        <is>
          <t>半导体/AI</t>
        </is>
      </c>
      <c r="D16" s="2" t="n">
        <v>5</v>
      </c>
      <c r="E16" s="2" t="inlineStr">
        <is>
          <t>黄仁勋发布新一代Vera Rubin平台及7款新芯片，预测到2027年全球数据中心AI算力需求将带来至少1万亿美元营收</t>
        </is>
      </c>
      <c r="F16" s="2" t="inlineStr">
        <is>
          <t>7款新芯片，预测1万亿美元营收</t>
        </is>
      </c>
      <c r="G16" s="2" t="inlineStr">
        <is>
          <t>AI算力新周期开启</t>
        </is>
      </c>
    </row>
    <row r="17">
      <c r="A17" s="2" t="inlineStr">
        <is>
          <t>2026-03-20</t>
        </is>
      </c>
      <c r="B17" s="2" t="inlineStr">
        <is>
          <t>小米发布三款自研大模型</t>
        </is>
      </c>
      <c r="C17" s="2" t="inlineStr">
        <is>
          <t>AI</t>
        </is>
      </c>
      <c r="D17" s="2" t="n">
        <v>3</v>
      </c>
      <c r="E17" s="2" t="inlineStr">
        <is>
          <t>雷军表示2026年小米AI投入将超160亿元，未来三年在AI领域计划至少投资600亿元</t>
        </is>
      </c>
      <c r="F17" s="2" t="inlineStr">
        <is>
          <t>2026年AI投入超160亿元，三年600亿</t>
        </is>
      </c>
      <c r="G17" s="2" t="inlineStr">
        <is>
          <t>科技公司AI投入持续加码</t>
        </is>
      </c>
    </row>
    <row r="18">
      <c r="A18" s="2" t="inlineStr">
        <is>
          <t>2026-03-31</t>
        </is>
      </c>
      <c r="B18" s="2" t="inlineStr">
        <is>
          <t>NeurIPS 2026征稿规则引发学界争议</t>
        </is>
      </c>
      <c r="C18" s="2" t="inlineStr">
        <is>
          <t>AI</t>
        </is>
      </c>
      <c r="D18" s="2" t="n">
        <v>2</v>
      </c>
      <c r="E18" s="2" t="inlineStr">
        <is>
          <t>NeurIPS 2026新增'引入条款'引发学术界广泛批评，组委会随后紧急道歉</t>
        </is>
      </c>
      <c r="F18" s="2" t="inlineStr">
        <is>
          <t>新增条款引发争议后道歉</t>
        </is>
      </c>
      <c r="G18" s="2" t="inlineStr">
        <is>
          <t>学术界治理规范讨论</t>
        </is>
      </c>
    </row>
    <row r="19">
      <c r="A19" s="2" t="inlineStr">
        <is>
          <t>2026-04-01</t>
        </is>
      </c>
      <c r="B19" s="2" t="inlineStr">
        <is>
          <t>DeepSeek-V4预览版发布</t>
        </is>
      </c>
      <c r="C19" s="2" t="inlineStr">
        <is>
          <t>AI</t>
        </is>
      </c>
      <c r="D19" s="2" t="n">
        <v>5</v>
      </c>
      <c r="E19" s="2" t="inlineStr">
        <is>
          <t>具备世界顶级推理性能，Agent能力大幅提高，聚焦编程能力与超长代码上下文处理</t>
        </is>
      </c>
      <c r="F19" s="2" t="inlineStr">
        <is>
          <t>API定价仅为GPT-5.5的约1/7</t>
        </is>
      </c>
      <c r="G19" s="2" t="inlineStr">
        <is>
          <t>大模型价格战加剧</t>
        </is>
      </c>
    </row>
    <row r="20">
      <c r="A20" s="2" t="inlineStr">
        <is>
          <t>2026-04-04</t>
        </is>
      </c>
      <c r="B20" s="2" t="inlineStr">
        <is>
          <t>证监会：2026年将深化细化高频量化交易监管</t>
        </is>
      </c>
      <c r="C20" s="2" t="inlineStr">
        <is>
          <t>股市应用</t>
        </is>
      </c>
      <c r="D20" s="2" t="n">
        <v>4</v>
      </c>
      <c r="E20" s="2" t="inlineStr">
        <is>
          <t>证监会主席吴清明确表示将突出公平性原则，深化细化高频量化交易监管</t>
        </is>
      </c>
      <c r="F20" s="2" t="inlineStr">
        <is>
          <t>深化细化高频量化监管</t>
        </is>
      </c>
      <c r="G20" s="2" t="inlineStr">
        <is>
          <t>量化行业进入合规红利时代</t>
        </is>
      </c>
    </row>
    <row r="21">
      <c r="A21" s="2" t="inlineStr">
        <is>
          <t>2026-04-08</t>
        </is>
      </c>
      <c r="B21" s="2" t="inlineStr">
        <is>
          <t>中国半导体迎IPO潮</t>
        </is>
      </c>
      <c r="C21" s="2" t="inlineStr">
        <is>
          <t>半导体</t>
        </is>
      </c>
      <c r="D21" s="2" t="n">
        <v>4</v>
      </c>
      <c r="E21" s="2" t="inlineStr">
        <is>
          <t>2025年以来已有10家半导体企业成功IPO，另有85家正在排队申报，涵盖全链条</t>
        </is>
      </c>
      <c r="F21" s="2" t="inlineStr">
        <is>
          <t>10家已IPO，85家排队</t>
        </is>
      </c>
      <c r="G21" s="2" t="inlineStr">
        <is>
          <t>中国半导体资本化加速</t>
        </is>
      </c>
    </row>
    <row r="22">
      <c r="A22" s="2" t="inlineStr">
        <is>
          <t>2026-04-10</t>
        </is>
      </c>
      <c r="B22" s="2" t="inlineStr">
        <is>
          <t>国内'百模大战'再升级</t>
        </is>
      </c>
      <c r="C22" s="2" t="inlineStr">
        <is>
          <t>AI</t>
        </is>
      </c>
      <c r="D22" s="2" t="n">
        <v>4</v>
      </c>
      <c r="E22" s="2" t="inlineStr">
        <is>
          <t>阿里、字节跳动、腾讯几乎在同一时期密集发布大模型更新，推理成本持续下降</t>
        </is>
      </c>
      <c r="F22" s="2" t="inlineStr">
        <is>
          <t>三大厂同期密集更新</t>
        </is>
      </c>
      <c r="G22" s="2" t="inlineStr">
        <is>
          <t>商业化竞争白热化</t>
        </is>
      </c>
    </row>
    <row r="23">
      <c r="A23" s="2" t="inlineStr">
        <is>
          <t>2026-04-15</t>
        </is>
      </c>
      <c r="B23" s="2" t="inlineStr">
        <is>
          <t>英伟达股价10连涨</t>
        </is>
      </c>
      <c r="C23" s="2" t="inlineStr">
        <is>
          <t>股市应用/半导体</t>
        </is>
      </c>
      <c r="D23" s="2" t="n">
        <v>4</v>
      </c>
      <c r="E23" s="2" t="inlineStr">
        <is>
          <t>英伟达股价实现10个交易日连涨，累计涨幅超18%，为2023年后最长连涨纪录</t>
        </is>
      </c>
      <c r="F23" s="2" t="inlineStr">
        <is>
          <t>10连涨，累计涨幅超18%</t>
        </is>
      </c>
      <c r="G23" s="2" t="inlineStr">
        <is>
          <t>AI芯片板块成市场核心主线</t>
        </is>
      </c>
    </row>
    <row r="24">
      <c r="A24" s="2" t="inlineStr">
        <is>
          <t>2026-04-28</t>
        </is>
      </c>
      <c r="B24" s="2" t="inlineStr">
        <is>
          <t>雷军：小米自研芯片出货超百万颗</t>
        </is>
      </c>
      <c r="C24" s="2" t="inlineStr">
        <is>
          <t>半导体</t>
        </is>
      </c>
      <c r="D24" s="2" t="n">
        <v>3</v>
      </c>
      <c r="E24" s="2" t="inlineStr">
        <is>
          <t>小米玄戒系列自研芯片累计出货已超百万颗，同时新款小米机器人正式亮相</t>
        </is>
      </c>
      <c r="F24" s="2" t="inlineStr">
        <is>
          <t>玄戒系列出货超百万颗</t>
        </is>
      </c>
      <c r="G24" s="2" t="inlineStr">
        <is>
          <t>中国自研芯片商业化里程碑</t>
        </is>
      </c>
    </row>
    <row r="25">
      <c r="A25" s="2" t="inlineStr">
        <is>
          <t>2026-04-29</t>
        </is>
      </c>
      <c r="B25" s="2" t="inlineStr">
        <is>
          <t>OpenAI发布GPT-5.5</t>
        </is>
      </c>
      <c r="C25" s="2" t="inlineStr">
        <is>
          <t>AI</t>
        </is>
      </c>
      <c r="D25" s="2" t="n">
        <v>5</v>
      </c>
      <c r="E25" s="2" t="inlineStr">
        <is>
          <t>与DeepSeek V4几乎同期登场，全球大模型进入'7大模型混战'格局</t>
        </is>
      </c>
      <c r="F25" s="2" t="inlineStr">
        <is>
          <t>GPT-5.5 vs DeepSeek V4同期发布</t>
        </is>
      </c>
      <c r="G25" s="2" t="inlineStr">
        <is>
          <t>大模型竞争进入平台期</t>
        </is>
      </c>
    </row>
    <row r="26">
      <c r="A26" s="2" t="inlineStr">
        <is>
          <t>2026-05-08</t>
        </is>
      </c>
      <c r="B26" s="2" t="inlineStr">
        <is>
          <t>Figure发布双机协作人形机器人视频</t>
        </is>
      </c>
      <c r="C26" s="2" t="inlineStr">
        <is>
          <t>AI</t>
        </is>
      </c>
      <c r="D26" s="2" t="n">
        <v>3</v>
      </c>
      <c r="E26" s="2" t="inlineStr">
        <is>
          <t>两台搭载Helix02系统的人形机器人在卧室场景中连续完成复杂协作任务</t>
        </is>
      </c>
      <c r="F26" s="2" t="inlineStr">
        <is>
          <t>双机协作，Helix02系统</t>
        </is>
      </c>
      <c r="G26" s="2" t="inlineStr">
        <is>
          <t>多机协同与长程任务规划能力展示</t>
        </is>
      </c>
    </row>
    <row r="27">
      <c r="A27" s="2" t="inlineStr">
        <is>
          <t>2026-05-14</t>
        </is>
      </c>
      <c r="B27" s="2" t="inlineStr">
        <is>
          <t>Anthropic发布Claude 4</t>
        </is>
      </c>
      <c r="C27" s="2" t="inlineStr">
        <is>
          <t>AI</t>
        </is>
      </c>
      <c r="D27" s="2" t="n">
        <v>5</v>
      </c>
      <c r="E27" s="2" t="inlineStr">
        <is>
          <t>被称为公司历史上最强大的AI模型，Claude Opus 4被评为全球最佳编程模型，Agentic能力显著增强</t>
        </is>
      </c>
      <c r="F27" s="2" t="inlineStr">
        <is>
          <t>SWE-bench编程基准领先</t>
        </is>
      </c>
      <c r="G27" s="2" t="inlineStr">
        <is>
          <t>AI编程工具市场加速分化</t>
        </is>
      </c>
    </row>
    <row r="28">
      <c r="A28" s="2" t="inlineStr">
        <is>
          <t>2026-05-20</t>
        </is>
      </c>
      <c r="B28" s="2" t="inlineStr">
        <is>
          <t>Google I/O 2026</t>
        </is>
      </c>
      <c r="C28" s="2" t="inlineStr">
        <is>
          <t>AI</t>
        </is>
      </c>
      <c r="D28" s="2" t="n">
        <v>5</v>
      </c>
      <c r="E28" s="2" t="inlineStr">
        <is>
          <t>发布Gemini 3.5 Flash、视频模型Omni、全天候AI代理Spark及Android XR，全面聚焦Agentic AI</t>
        </is>
      </c>
      <c r="F28" s="2" t="inlineStr">
        <is>
          <t>Gemini 3.5 Flash + Spark Agent框架</t>
        </is>
      </c>
      <c r="G28" s="2" t="inlineStr">
        <is>
          <t>Agent入口之争全面展开</t>
        </is>
      </c>
    </row>
    <row r="29">
      <c r="A29" s="2" t="inlineStr">
        <is>
          <t>2026-05-28</t>
        </is>
      </c>
      <c r="B29" s="2" t="inlineStr">
        <is>
          <t>雷军预告小米'三项自研大会师'</t>
        </is>
      </c>
      <c r="C29" s="2" t="inlineStr">
        <is>
          <t>半导体/AI</t>
        </is>
      </c>
      <c r="D29" s="2" t="n">
        <v>3</v>
      </c>
      <c r="E29" s="2" t="inlineStr">
        <is>
          <t>2026年小米最重磅新品将实现自研芯片（玄戒）、自研OS（澎湃OS）、AI大模型三项'大会师'</t>
        </is>
      </c>
      <c r="F29" s="2" t="inlineStr">
        <is>
          <t>芯片+OS+AI三合一</t>
        </is>
      </c>
      <c r="G29" s="2" t="inlineStr">
        <is>
          <t>终端厂商全栈自研趋势</t>
        </is>
      </c>
    </row>
    <row r="30">
      <c r="A30" s="2" t="inlineStr">
        <is>
          <t>2026-06-01</t>
        </is>
      </c>
      <c r="B30" s="2" t="inlineStr">
        <is>
          <t>证券APP全面AI原生转型</t>
        </is>
      </c>
      <c r="C30" s="2" t="inlineStr">
        <is>
          <t>股市应用</t>
        </is>
      </c>
      <c r="D30" s="2" t="n">
        <v>4</v>
      </c>
      <c r="E30" s="2" t="inlineStr">
        <is>
          <t>华泰证券推出'AI涨乐'（业内首款AI原生交易APP），国泰君安发布'君弘灵犀'垂类大模型。AI量化交易全年有望达A股总成交额36.8%</t>
        </is>
      </c>
      <c r="F30" s="2" t="inlineStr">
        <is>
          <t>AI量化占A股成交额36.8%</t>
        </is>
      </c>
      <c r="G30" s="2" t="inlineStr">
        <is>
          <t>证券行业从AI辅助向AI原生转型</t>
        </is>
      </c>
    </row>
    <row r="31">
      <c r="A31" s="2" t="inlineStr">
        <is>
          <t>2026-06-01</t>
        </is>
      </c>
      <c r="B31" s="2" t="inlineStr">
        <is>
          <t>全球半导体与AI市场预测密集发布</t>
        </is>
      </c>
      <c r="C31" s="2" t="inlineStr">
        <is>
          <t>半导体/AI</t>
        </is>
      </c>
      <c r="D31" s="2" t="n">
        <v>5</v>
      </c>
      <c r="E31" s="2" t="inlineStr">
        <is>
          <t>Gartner预计2026年全球半导体收入超1.3万亿美元(+64%)；IDC预测2026年全球AI市场3010亿美元(+35.2%)；中国成熟制程芯片出口前四个月同比+100.1%</t>
        </is>
      </c>
      <c r="F31" s="2" t="inlineStr">
        <is>
          <t>半导体1.3万亿美元，AI 3010亿美元</t>
        </is>
      </c>
      <c r="G31" s="2" t="inlineStr">
        <is>
          <t>全球AI和半导体产业进入超级增长周期</t>
        </is>
      </c>
    </row>
    <row r="32">
      <c r="A32" s="2" t="inlineStr">
        <is>
          <t>2026-06-12</t>
        </is>
      </c>
      <c r="B32" s="2" t="inlineStr">
        <is>
          <t>美国商务部新规封堵AI芯片流向中企海外分支</t>
        </is>
      </c>
      <c r="C32" s="2" t="inlineStr">
        <is>
          <t>芯片出口管制</t>
        </is>
      </c>
      <c r="D32" s="2" t="inlineStr">
        <is>
          <t>high</t>
        </is>
      </c>
      <c r="E32" s="2" t="inlineStr">
        <is>
          <t>商务部发布最新出口管制细则，进一步封堵中国企业在海外设立的分支机构获取先进AI芯片的渠道</t>
        </is>
      </c>
      <c r="F32" s="2" t="inlineStr"/>
      <c r="G32" s="2" t="inlineStr"/>
    </row>
    <row r="33">
      <c r="A33" s="2" t="inlineStr">
        <is>
          <t>2026-06-12</t>
        </is>
      </c>
      <c r="B33" s="2" t="inlineStr">
        <is>
          <t>英伟达CEO黄仁勋拒绝出席参议院AI芯片出口听证会</t>
        </is>
      </c>
      <c r="C33" s="2" t="inlineStr">
        <is>
          <t>AI芯片</t>
        </is>
      </c>
      <c r="D33" s="2" t="inlineStr">
        <is>
          <t>high</t>
        </is>
      </c>
      <c r="E33" s="2" t="inlineStr">
        <is>
          <t>黄仁勋以日程冲突为由拒绝出席，此前6月8日在首尔称半导体股票暴跌是买入机会</t>
        </is>
      </c>
      <c r="F33" s="2" t="inlineStr"/>
      <c r="G33" s="2" t="inlineStr"/>
    </row>
    <row r="34">
      <c r="A34" s="2" t="inlineStr">
        <is>
          <t>2026-06-12</t>
        </is>
      </c>
      <c r="B34" s="2" t="inlineStr">
        <is>
          <t>苹果WWDC 2026发布Google Gemini驱动的全新Siri AI</t>
        </is>
      </c>
      <c r="C34" s="2" t="inlineStr">
        <is>
          <t>AI产品</t>
        </is>
      </c>
      <c r="D34" s="2" t="inlineStr">
        <is>
          <t>high</t>
        </is>
      </c>
      <c r="E34" s="2" t="inlineStr">
        <is>
          <t>苹果Siri全面接入Google Gemini大模型，实现跨App智能操作、上下文理解和多轮对话</t>
        </is>
      </c>
      <c r="F34" s="2" t="inlineStr"/>
      <c r="G34" s="2" t="inlineStr"/>
    </row>
    <row r="35">
      <c r="A35" s="2" t="inlineStr">
        <is>
          <t>2026-06-12</t>
        </is>
      </c>
      <c r="B35" s="2" t="inlineStr">
        <is>
          <t>Anthropic秘密提交S-1，估值9650亿美元逼近万亿</t>
        </is>
      </c>
      <c r="C35" s="2" t="inlineStr">
        <is>
          <t>AI融资/IPO</t>
        </is>
      </c>
      <c r="D35" s="2" t="inlineStr">
        <is>
          <t>high</t>
        </is>
      </c>
      <c r="E35" s="2" t="inlineStr">
        <is>
          <t>Anthropic秘密向SEC提交S-1，最新估值9650亿美元超越OpenAI，计划10月上市</t>
        </is>
      </c>
      <c r="F35" s="2" t="inlineStr"/>
      <c r="G35" s="2" t="inlineStr"/>
    </row>
    <row r="36">
      <c r="A36" s="2" t="inlineStr">
        <is>
          <t>2026-06-12</t>
        </is>
      </c>
      <c r="B36" s="2" t="inlineStr">
        <is>
          <t>费城半导体指数连续大涨，芯片股创一年最佳表现</t>
        </is>
      </c>
      <c r="C36" s="2" t="inlineStr">
        <is>
          <t>半导体</t>
        </is>
      </c>
      <c r="D36" s="2" t="inlineStr">
        <is>
          <t>medium</t>
        </is>
      </c>
      <c r="E36" s="2" t="inlineStr">
        <is>
          <t>经历6月初暴跌后全球芯片股强劲反弹，费城半导体指数连续三日大涨</t>
        </is>
      </c>
      <c r="F36" s="2" t="inlineStr"/>
      <c r="G36" s="2" t="inlineStr"/>
    </row>
    <row r="37">
      <c r="A37" s="2" t="inlineStr">
        <is>
          <t>2026-06-12</t>
        </is>
      </c>
      <c r="B37" s="2" t="inlineStr">
        <is>
          <t>SpaceX史上最大IPO登陆纳斯达克，估值1.75万亿美元</t>
        </is>
      </c>
      <c r="C37" s="2" t="inlineStr">
        <is>
          <t>IPO</t>
        </is>
      </c>
      <c r="D37" s="2" t="inlineStr">
        <is>
          <t>high</t>
        </is>
      </c>
      <c r="E37" s="2" t="inlineStr">
        <is>
          <t>SpaceX发行价135美元，募资约750亿美元，为美国有史以来最大规模IPO</t>
        </is>
      </c>
      <c r="F37" s="2" t="inlineStr"/>
      <c r="G37" s="2" t="inlineStr"/>
    </row>
    <row r="38">
      <c r="A38" s="2" t="inlineStr">
        <is>
          <t>2026-06-12</t>
        </is>
      </c>
      <c r="B38" s="2" t="inlineStr">
        <is>
          <t>台积电CoPoS先进封装技术进入量产准备阶段</t>
        </is>
      </c>
      <c r="C38" s="2" t="inlineStr">
        <is>
          <t>半导体制造</t>
        </is>
      </c>
      <c r="D38" s="2" t="inlineStr">
        <is>
          <t>medium</t>
        </is>
      </c>
      <c r="E38" s="2" t="inlineStr">
        <is>
          <t>新型Chip-on-Panel-on-Substrate封装技术预计下半年为AI芯片客户提供服务</t>
        </is>
      </c>
      <c r="F38" s="2" t="inlineStr"/>
      <c r="G38" s="2" t="inlineStr"/>
    </row>
    <row r="39">
      <c r="A39" s="2" t="inlineStr">
        <is>
          <t>2026-06-12</t>
        </is>
      </c>
      <c r="B39" s="2" t="inlineStr">
        <is>
          <t>华为AI芯片获字节跳动和阿里巴巴批量订单</t>
        </is>
      </c>
      <c r="C39" s="2" t="inlineStr">
        <is>
          <t>国产芯片</t>
        </is>
      </c>
      <c r="D39" s="2" t="inlineStr">
        <is>
          <t>high</t>
        </is>
      </c>
      <c r="E39" s="2" t="inlineStr">
        <is>
          <t>华为昇腾系列AI芯片获得头部互联网公司批量订单，标志国产AI芯片规模化落地</t>
        </is>
      </c>
      <c r="F39" s="2" t="inlineStr"/>
      <c r="G39" s="2" t="inlineStr"/>
    </row>
    <row r="40">
      <c r="A40" s="2" t="inlineStr">
        <is>
          <t>2026-06-12</t>
        </is>
      </c>
      <c r="B40" s="2" t="inlineStr">
        <is>
          <t>SpaceX史上最大IPO登陆纳斯达克，估值1.77万亿美元</t>
        </is>
      </c>
      <c r="C40" s="2" t="inlineStr">
        <is>
          <t>IPO</t>
        </is>
      </c>
      <c r="D40" s="2" t="inlineStr">
        <is>
          <t>high</t>
        </is>
      </c>
      <c r="E40" s="2" t="inlineStr">
        <is>
          <t>SpaceX发行价135美元，首日收盘161.11美元，募资750亿美元，为美国有史以来最大规模IPO</t>
        </is>
      </c>
      <c r="F40" s="2" t="inlineStr"/>
      <c r="G40" s="2" t="inlineStr"/>
    </row>
    <row r="41">
      <c r="A41" s="2" t="inlineStr">
        <is>
          <t>2026-06-12</t>
        </is>
      </c>
      <c r="B41" s="2" t="inlineStr">
        <is>
          <t>苹果WWDC 2026发布Siri AI，全面接入Google Gemini</t>
        </is>
      </c>
      <c r="C41" s="2" t="inlineStr">
        <is>
          <t>AI产品</t>
        </is>
      </c>
      <c r="D41" s="2" t="inlineStr">
        <is>
          <t>high</t>
        </is>
      </c>
      <c r="E41" s="2" t="inlineStr">
        <is>
          <t>新一代Siri基于Gemini模型重构，支持自然对话和跨设备任务，但市场反应冷淡，股价跌1.89%</t>
        </is>
      </c>
      <c r="F41" s="2" t="inlineStr"/>
      <c r="G41" s="2" t="inlineStr"/>
    </row>
    <row r="42">
      <c r="A42" s="2" t="inlineStr">
        <is>
          <t>2026-06-12</t>
        </is>
      </c>
      <c r="B42" s="2" t="inlineStr">
        <is>
          <t>Anthropic秘密提交S-1，估值9650亿美元</t>
        </is>
      </c>
      <c r="C42" s="2" t="inlineStr">
        <is>
          <t>AI融资/IPO</t>
        </is>
      </c>
      <c r="D42" s="2" t="inlineStr">
        <is>
          <t>high</t>
        </is>
      </c>
      <c r="E42" s="2" t="inlineStr">
        <is>
          <t>Anthropic已向SEC秘密递交S-1，计划10月上市，Q2营收翻倍，估值首次超越OpenAI</t>
        </is>
      </c>
      <c r="F42" s="2" t="inlineStr"/>
      <c r="G42" s="2" t="inlineStr"/>
    </row>
    <row r="43">
      <c r="A43" s="2" t="inlineStr">
        <is>
          <t>2026-06-08</t>
        </is>
      </c>
      <c r="B43" s="2" t="inlineStr">
        <is>
          <t>英伟达与SK海力士宣布多年期技术合作</t>
        </is>
      </c>
      <c r="C43" s="2" t="inlineStr">
        <is>
          <t>半导体</t>
        </is>
      </c>
      <c r="D43" s="2" t="inlineStr">
        <is>
          <t>high</t>
        </is>
      </c>
      <c r="E43" s="2" t="inlineStr">
        <is>
          <t>双方将联手研发下一代AI内存，SK海力士为Vera Rubin开发专用内存，采用CUDA-X加速芯片仿真</t>
        </is>
      </c>
      <c r="F43" s="2" t="inlineStr"/>
      <c r="G43" s="2" t="inlineStr"/>
    </row>
    <row r="44">
      <c r="A44" s="2" t="inlineStr">
        <is>
          <t>2026-06-12</t>
        </is>
      </c>
      <c r="B44" s="2" t="inlineStr">
        <is>
          <t>美国商务部新规封堵AI芯片流向中企海外分支</t>
        </is>
      </c>
      <c r="C44" s="2" t="inlineStr">
        <is>
          <t>芯片出口管制</t>
        </is>
      </c>
      <c r="D44" s="2" t="inlineStr">
        <is>
          <t>high</t>
        </is>
      </c>
      <c r="E44" s="2" t="inlineStr">
        <is>
          <t>最新出口管制细则进一步封堵中国企业在海外分支机构获取先进AI芯片的渠道</t>
        </is>
      </c>
      <c r="F44" s="2" t="inlineStr"/>
      <c r="G44" s="2" t="inlineStr"/>
    </row>
    <row r="45">
      <c r="A45" s="2" t="inlineStr">
        <is>
          <t>2026-06-12</t>
        </is>
      </c>
      <c r="B45" s="2" t="inlineStr">
        <is>
          <t>黄仁勋拒绝出席参议院AI芯片出口听证会</t>
        </is>
      </c>
      <c r="C45" s="2" t="inlineStr">
        <is>
          <t>AI芯片</t>
        </is>
      </c>
      <c r="D45" s="2" t="inlineStr">
        <is>
          <t>high</t>
        </is>
      </c>
      <c r="E45" s="2" t="inlineStr">
        <is>
          <t>英伟达CEO以日程冲突为由拒绝出席，此前称半导体股票暴跌是买入机会</t>
        </is>
      </c>
      <c r="F45" s="2" t="inlineStr"/>
      <c r="G45" s="2" t="inlineStr"/>
    </row>
    <row r="46">
      <c r="A46" s="2" t="inlineStr">
        <is>
          <t>2026-06-12</t>
        </is>
      </c>
      <c r="B46" s="2" t="inlineStr">
        <is>
          <t>台积电CoPoS先进封装技术进入量产准备阶段</t>
        </is>
      </c>
      <c r="C46" s="2" t="inlineStr">
        <is>
          <t>半导体制造</t>
        </is>
      </c>
      <c r="D46" s="2" t="inlineStr">
        <is>
          <t>medium</t>
        </is>
      </c>
      <c r="E46" s="2" t="inlineStr">
        <is>
          <t>新型Chip-on-Panel-on-Substrate封装技术预计下半年为AI芯片客户提供服务</t>
        </is>
      </c>
      <c r="F46" s="2" t="inlineStr"/>
      <c r="G46" s="2" t="inlineStr"/>
    </row>
    <row r="47">
      <c r="A47" s="2" t="inlineStr">
        <is>
          <t>2026-06-12</t>
        </is>
      </c>
      <c r="B47" s="2" t="inlineStr">
        <is>
          <t>华为昇腾芯片获字节跳动和阿里巴巴批量订单</t>
        </is>
      </c>
      <c r="C47" s="2" t="inlineStr">
        <is>
          <t>国产芯片</t>
        </is>
      </c>
      <c r="D47" s="2" t="inlineStr">
        <is>
          <t>high</t>
        </is>
      </c>
      <c r="E47" s="2" t="inlineStr">
        <is>
          <t>昇腾950PR测试顺利，字节跳动预计2026年采购超400亿元，标志国产AI芯片规模化落地</t>
        </is>
      </c>
      <c r="F47" s="2" t="inlineStr"/>
      <c r="G47" s="2" t="inlineStr"/>
    </row>
    <row r="48">
      <c r="A48" s="2" t="inlineStr">
        <is>
          <t>2026-06-12</t>
        </is>
      </c>
      <c r="B48" s="2" t="inlineStr">
        <is>
          <t>费城半导体指数连续大涨，芯片股创一年最佳表现</t>
        </is>
      </c>
      <c r="C48" s="2" t="inlineStr">
        <is>
          <t>半导体</t>
        </is>
      </c>
      <c r="D48" s="2" t="inlineStr">
        <is>
          <t>medium</t>
        </is>
      </c>
      <c r="E48" s="2" t="inlineStr">
        <is>
          <t>经历6月初暴跌后全球芯片股强劲反弹，SK海力士市值突破1万亿美元</t>
        </is>
      </c>
      <c r="F48" s="2" t="inlineStr"/>
      <c r="G48" s="2" t="inlineStr"/>
    </row>
    <row r="49">
      <c r="A49" s="2" t="inlineStr">
        <is>
          <t>2026-06-15</t>
        </is>
      </c>
      <c r="B49" s="2" t="inlineStr">
        <is>
          <t>韩国投入8000亿韩元加速开发国产在线设备AI半导体</t>
        </is>
      </c>
      <c r="C49" s="2" t="inlineStr">
        <is>
          <t>半导体</t>
        </is>
      </c>
      <c r="D49" s="2" t="inlineStr">
        <is>
          <t>high</t>
        </is>
      </c>
      <c r="E49" s="2" t="inlineStr">
        <is>
          <t>韩国政府计划通过建立需求企业、无厂半导体公司、代工厂协作体系，投入8000亿韩元推动本土AI芯片商业化</t>
        </is>
      </c>
      <c r="F49" s="2" t="inlineStr"/>
      <c r="G49" s="2" t="inlineStr"/>
    </row>
    <row r="50">
      <c r="A50" s="2" t="inlineStr">
        <is>
          <t>2026-06-15</t>
        </is>
      </c>
      <c r="B50" s="2" t="inlineStr">
        <is>
          <t>国产AI芯片巨头6月15日上会审核</t>
        </is>
      </c>
      <c r="C50" s="2" t="inlineStr">
        <is>
          <t>半导体/IPO</t>
        </is>
      </c>
      <c r="D50" s="2" t="inlineStr">
        <is>
          <t>high</t>
        </is>
      </c>
      <c r="E50" s="2" t="inlineStr">
        <is>
          <t>上海证券交易所上市审核委员会定于6月15日召开审议会议，审核国产AI芯片龙头企业IPO申请</t>
        </is>
      </c>
      <c r="F50" s="2" t="inlineStr"/>
      <c r="G50" s="2" t="inlineStr"/>
    </row>
    <row r="51">
      <c r="A51" s="2" t="inlineStr">
        <is>
          <t>2026-06-15</t>
        </is>
      </c>
      <c r="B51" s="2" t="inlineStr">
        <is>
          <t>WSTS预测2026年全球半导体市场增长90%达1.3万亿美元</t>
        </is>
      </c>
      <c r="C51" s="2" t="inlineStr">
        <is>
          <t>半导体</t>
        </is>
      </c>
      <c r="D51" s="2" t="inlineStr">
        <is>
          <t>high</t>
        </is>
      </c>
      <c r="E51" s="2" t="inlineStr">
        <is>
          <t>世界半导体贸易统计组织预测2026年全球半导体市场同比增长约90%，AI算力需求是核心驱动力</t>
        </is>
      </c>
      <c r="F51" s="2" t="inlineStr"/>
      <c r="G51" s="2" t="inlineStr"/>
    </row>
    <row r="52">
      <c r="A52" s="2" t="inlineStr">
        <is>
          <t>2026-06-15</t>
        </is>
      </c>
      <c r="B52" s="2" t="inlineStr">
        <is>
          <t>AI拉动芯片需求，半导体ETF涨3.35%</t>
        </is>
      </c>
      <c r="C52" s="2" t="inlineStr">
        <is>
          <t>半导体</t>
        </is>
      </c>
      <c r="D52" s="2" t="inlineStr">
        <is>
          <t>medium</t>
        </is>
      </c>
      <c r="E52" s="2" t="inlineStr">
        <is>
          <t>行业增长预期强劲，芯片ETF（易方达）涨3.35%，产业链各环节景气度提升</t>
        </is>
      </c>
      <c r="F52" s="2" t="inlineStr"/>
      <c r="G52" s="2" t="inlineStr"/>
    </row>
    <row r="53">
      <c r="A53" s="2" t="inlineStr">
        <is>
          <t>2026-06-15</t>
        </is>
      </c>
      <c r="B53" s="2" t="inlineStr">
        <is>
          <t>深证成指、创业板指等指数6月15日调整样本股</t>
        </is>
      </c>
      <c r="C53" s="2" t="inlineStr">
        <is>
          <t>股市</t>
        </is>
      </c>
      <c r="D53" s="2" t="inlineStr">
        <is>
          <t>medium</t>
        </is>
      </c>
      <c r="E53" s="2" t="inlineStr">
        <is>
          <t>深圳证券信息有限公司对深证成指、创业板指等指数实施样本股定期调整，反映A股市场结构新变化</t>
        </is>
      </c>
      <c r="F53" s="2" t="inlineStr"/>
      <c r="G53" s="2" t="inlineStr"/>
    </row>
    <row r="54">
      <c r="A54" s="2" t="inlineStr">
        <is>
          <t>2026-06-15</t>
        </is>
      </c>
      <c r="B54" s="2" t="inlineStr">
        <is>
          <t>蜜雪冰城以极致性价比模式进军纽约市场</t>
        </is>
      </c>
      <c r="C54" s="2" t="inlineStr">
        <is>
          <t>消费品牌</t>
        </is>
      </c>
      <c r="D54" s="2" t="inlineStr">
        <is>
          <t>high</t>
        </is>
      </c>
      <c r="E54" s="2" t="inlineStr">
        <is>
          <t>蜜雪冰城将国内低价高质策略复制到纽约，试图用价格杠杆撬动海外市场</t>
        </is>
      </c>
      <c r="F54" s="2" t="inlineStr"/>
      <c r="G54" s="2" t="inlineStr"/>
    </row>
    <row r="55">
      <c r="A55" s="2" t="inlineStr">
        <is>
          <t>2026-06-15</t>
        </is>
      </c>
      <c r="B55" s="2" t="inlineStr">
        <is>
          <t>AI半导体板块6月遭遇剧烈抛售，单日市值蒸发约1.4万亿美元</t>
        </is>
      </c>
      <c r="C55" s="2" t="inlineStr">
        <is>
          <t>半导体</t>
        </is>
      </c>
      <c r="D55" s="2" t="inlineStr">
        <is>
          <t>high</t>
        </is>
      </c>
      <c r="E55" s="2" t="inlineStr">
        <is>
          <t>2026年6月初AI半导体板块经历大规模回调，费城半导体指数一度暴跌约10%，英伟达博通等龙头大幅下跌，随后迅速反弹</t>
        </is>
      </c>
      <c r="F55" s="2" t="inlineStr"/>
      <c r="G55" s="2" t="inlineStr"/>
    </row>
    <row r="56">
      <c r="A56" s="2" t="inlineStr">
        <is>
          <t>2026-06-15</t>
        </is>
      </c>
      <c r="B56" s="2" t="inlineStr">
        <is>
          <t>Arm有望提前达成150亿美元AI芯片年收入目标</t>
        </is>
      </c>
      <c r="C56" s="2" t="inlineStr">
        <is>
          <t>半导体</t>
        </is>
      </c>
      <c r="D56" s="2" t="inlineStr">
        <is>
          <t>high</t>
        </is>
      </c>
      <c r="E56" s="2" t="inlineStr">
        <is>
          <t>Arm Holdings CEO Rene Haas表示有望提前实现150亿美元AI芯片年收入目标，数据中心级AI芯片将带来巨额收入，股价一度大涨16%</t>
        </is>
      </c>
      <c r="F56" s="2" t="inlineStr"/>
      <c r="G56" s="2" t="inlineStr"/>
    </row>
    <row r="57">
      <c r="A57" s="2" t="inlineStr">
        <is>
          <t>2026-06-15</t>
        </is>
      </c>
      <c r="B57" s="2" t="inlineStr">
        <is>
          <t>苹果WWDC 2026发布全新Siri AI独立应用，深度整合Google Gemini</t>
        </is>
      </c>
      <c r="C57" s="2" t="inlineStr">
        <is>
          <t>AI产品</t>
        </is>
      </c>
      <c r="D57" s="2" t="inlineStr">
        <is>
          <t>high</t>
        </is>
      </c>
      <c r="E57" s="2" t="inlineStr">
        <is>
          <t>苹果推出全新Siri AI独立应用，底层采用Google Gemini 1.2万亿参数大模型，三层智能架构兼顾性能与隐私</t>
        </is>
      </c>
      <c r="F57" s="2" t="inlineStr"/>
      <c r="G57" s="2" t="inlineStr"/>
    </row>
    <row r="58">
      <c r="A58" s="2" t="inlineStr">
        <is>
          <t>2026-06-18</t>
        </is>
      </c>
      <c r="B58" s="2" t="inlineStr">
        <is>
          <t>全球半导体股单日蒸发1.3万亿美元创历史最大跌幅</t>
        </is>
      </c>
      <c r="C58" s="2" t="inlineStr">
        <is>
          <t>半导体</t>
        </is>
      </c>
      <c r="D58" s="2" t="inlineStr">
        <is>
          <t>high</t>
        </is>
      </c>
      <c r="E58" s="2" t="inlineStr">
        <is>
          <t>S&amp;P 500芯片股票单日蒸发1.3万亿美元，AI投资过热+贸易不确定性+获利回吐</t>
        </is>
      </c>
      <c r="F58" s="2" t="inlineStr"/>
      <c r="G58" s="2" t="inlineStr"/>
    </row>
    <row r="59">
      <c r="A59" s="2" t="inlineStr">
        <is>
          <t>2026-06-18</t>
        </is>
      </c>
      <c r="B59" s="2" t="inlineStr">
        <is>
          <t>英特尔18A制程至强6+处理器发布，单线程领先AMD 30%</t>
        </is>
      </c>
      <c r="C59" s="2" t="inlineStr">
        <is>
          <t>半导体</t>
        </is>
      </c>
      <c r="D59" s="2" t="inlineStr">
        <is>
          <t>high</t>
        </is>
      </c>
      <c r="E59" s="2" t="inlineStr">
        <is>
          <t>Computex 2026发布，288能效核，股价涨超6%</t>
        </is>
      </c>
      <c r="F59" s="2" t="inlineStr"/>
      <c r="G59" s="2" t="inlineStr"/>
    </row>
    <row r="60">
      <c r="A60" s="2" t="inlineStr">
        <is>
          <t>2026-06-18</t>
        </is>
      </c>
      <c r="B60" s="2" t="inlineStr">
        <is>
          <t>台积电全力扩产AI芯片，释放涨价信号</t>
        </is>
      </c>
      <c r="C60" s="2" t="inlineStr">
        <is>
          <t>半导体</t>
        </is>
      </c>
      <c r="D60" s="2" t="inlineStr">
        <is>
          <t>high</t>
        </is>
      </c>
      <c r="E60" s="2" t="inlineStr">
        <is>
          <t>AI芯片需求无放缓迹象，英伟达下代芯片台积电独家代工</t>
        </is>
      </c>
      <c r="F60" s="2" t="inlineStr"/>
      <c r="G60" s="2" t="inlineStr"/>
    </row>
    <row r="61">
      <c r="A61" s="2" t="inlineStr">
        <is>
          <t>2026-06-18</t>
        </is>
      </c>
      <c r="B61" s="2" t="inlineStr">
        <is>
          <t>Anthropic Claude Opus 4.8基准全面超越GPT-5.5</t>
        </is>
      </c>
      <c r="C61" s="2" t="inlineStr">
        <is>
          <t>AI</t>
        </is>
      </c>
      <c r="D61" s="2" t="inlineStr">
        <is>
          <t>high</t>
        </is>
      </c>
      <c r="E61" s="2" t="inlineStr">
        <is>
          <t>SWE-bench Pro 69.2%，幻觉率35.9%远低于GPT-5.5的86%，定价更低</t>
        </is>
      </c>
      <c r="F61" s="2" t="inlineStr"/>
      <c r="G61" s="2" t="inlineStr"/>
    </row>
    <row r="62">
      <c r="A62" s="2" t="inlineStr">
        <is>
          <t>2026-06-18</t>
        </is>
      </c>
      <c r="B62" s="2" t="inlineStr">
        <is>
          <t>Anthropic完成9650亿美元估值融资，年收入飙至300亿美元</t>
        </is>
      </c>
      <c r="C62" s="2" t="inlineStr">
        <is>
          <t>AI融资</t>
        </is>
      </c>
      <c r="D62" s="2" t="inlineStr">
        <is>
          <t>high</t>
        </is>
      </c>
      <c r="E62" s="2" t="inlineStr">
        <is>
          <t>Series G以9650亿估值完成，年收入从90亿飙至超300亿</t>
        </is>
      </c>
      <c r="F62" s="2" t="inlineStr"/>
      <c r="G62" s="2" t="inlineStr"/>
    </row>
    <row r="63">
      <c r="A63" s="2" t="inlineStr">
        <is>
          <t>2026-06-18</t>
        </is>
      </c>
      <c r="B63" s="2" t="inlineStr">
        <is>
          <t>谷歌Gemini 3.5 Pro即将发布，200万Token上下文+Deep Think</t>
        </is>
      </c>
      <c r="C63" s="2" t="inlineStr">
        <is>
          <t>AI</t>
        </is>
      </c>
      <c r="D63" s="2" t="inlineStr">
        <is>
          <t>high</t>
        </is>
      </c>
      <c r="E63" s="2" t="inlineStr">
        <is>
          <t>Flash已发布(速度GPT-5.5的4倍且免费)，Pro支持200万Token和深度推理</t>
        </is>
      </c>
      <c r="F63" s="2" t="inlineStr"/>
      <c r="G63" s="2" t="inlineStr"/>
    </row>
    <row r="64">
      <c r="A64" s="2" t="inlineStr">
        <is>
          <t>2026-06-18</t>
        </is>
      </c>
      <c r="B64" s="2" t="inlineStr">
        <is>
          <t>OpenAI转向企业市场，苹果谷歌争夺消费级AI入口</t>
        </is>
      </c>
      <c r="C64" s="2" t="inlineStr">
        <is>
          <t>AI</t>
        </is>
      </c>
      <c r="D64" s="2" t="inlineStr">
        <is>
          <t>medium</t>
        </is>
      </c>
      <c r="E64" s="2" t="inlineStr">
        <is>
          <t>AI行业战略分化，OpenAI走企业路线，苹果谷歌走消费路线</t>
        </is>
      </c>
      <c r="F64" s="2" t="inlineStr"/>
      <c r="G64" s="2" t="inlineStr"/>
    </row>
    <row r="65">
      <c r="A65" s="2" t="inlineStr">
        <is>
          <t>2026-06-22</t>
        </is>
      </c>
      <c r="B65" s="2" t="inlineStr">
        <is>
          <t>科创板第五套标准扩围至AI大模型企业</t>
        </is>
      </c>
      <c r="C65" s="2" t="inlineStr">
        <is>
          <t>政策/AI</t>
        </is>
      </c>
      <c r="D65" s="2" t="inlineStr">
        <is>
          <t>high</t>
        </is>
      </c>
      <c r="E65" s="2" t="inlineStr">
        <is>
          <t>上交所发布指引，人工智能大模型企业可适用科创板第五套上市标准，优先支持尚未形成收入规模但具备核心技术的主体，智谱、MiniMax等筹备回A</t>
        </is>
      </c>
      <c r="F65" s="2" t="inlineStr">
        <is>
          <t>科创板第五套标准扩容AI大模型</t>
        </is>
      </c>
      <c r="G65" s="2" t="inlineStr">
        <is>
          <t>国产大模型核心资产A股定价通道打开</t>
        </is>
      </c>
    </row>
    <row r="66">
      <c r="A66" s="2" t="inlineStr">
        <is>
          <t>2026-06-22</t>
        </is>
      </c>
      <c r="B66" s="2" t="inlineStr">
        <is>
          <t>智谱股价大涨超40%，市值突破万亿港元</t>
        </is>
      </c>
      <c r="C66" s="2" t="inlineStr">
        <is>
          <t>AI融资</t>
        </is>
      </c>
      <c r="D66" s="2" t="inlineStr">
        <is>
          <t>high</t>
        </is>
      </c>
      <c r="E66" s="2" t="inlineStr">
        <is>
          <t>智谱股价大涨逾40%，盘中触及2980港元，总市值突破1万亿港元。GLM-5.2模型表现优异，API调用量增幅达400%，公司推进科创板IPO拟募资150亿元</t>
        </is>
      </c>
      <c r="F66" s="2" t="inlineStr">
        <is>
          <t>智谱市值破万亿港元</t>
        </is>
      </c>
      <c r="G66" s="2" t="inlineStr">
        <is>
          <t>全球首家万亿市值大模型公司诞生</t>
        </is>
      </c>
    </row>
    <row r="67">
      <c r="A67" s="2" t="inlineStr">
        <is>
          <t>2026-06-22</t>
        </is>
      </c>
      <c r="B67" s="2" t="inlineStr">
        <is>
          <t>MiniMax涨超20%，港股AI大模型双子星闪耀</t>
        </is>
      </c>
      <c r="C67" s="2" t="inlineStr">
        <is>
          <t>AI融资</t>
        </is>
      </c>
      <c r="D67" s="2" t="inlineStr">
        <is>
          <t>high</t>
        </is>
      </c>
      <c r="E67" s="2" t="inlineStr">
        <is>
          <t>MiniMax-W股价攀升20.2%，估值达1876亿港元。作为恒生科技指数新成分股，MiniMax与智谱共同带动港股大模型概念股逆势走强</t>
        </is>
      </c>
      <c r="F67" s="2" t="inlineStr">
        <is>
          <t>MiniMax涨20.2%</t>
        </is>
      </c>
      <c r="G67" s="2" t="inlineStr">
        <is>
          <t>港股成为国产大模型估值发现重要战场</t>
        </is>
      </c>
    </row>
    <row r="68">
      <c r="A68" s="2" t="inlineStr">
        <is>
          <t>2026-06-22</t>
        </is>
      </c>
      <c r="B68" s="2" t="inlineStr">
        <is>
          <t>AI芯片需求推动韩国6月上旬出口强劲增长</t>
        </is>
      </c>
      <c r="C68" s="2" t="inlineStr">
        <is>
          <t>半导体</t>
        </is>
      </c>
      <c r="D68" s="2" t="inlineStr">
        <is>
          <t>medium</t>
        </is>
      </c>
      <c r="E68" s="2" t="inlineStr">
        <is>
          <t>韩国6月前10天出口受AI芯片需求拉动再度强劲增长，半导体出口保持双位数增速，SK海力士市值此前已突破1万亿美元</t>
        </is>
      </c>
      <c r="F68" s="2" t="inlineStr">
        <is>
          <t>韩国半导体出口双位数增长</t>
        </is>
      </c>
      <c r="G68" s="2" t="inlineStr">
        <is>
          <t>AI算力上游存储和先进封装持续景气</t>
        </is>
      </c>
    </row>
    <row r="69">
      <c r="A69" s="2" t="inlineStr">
        <is>
          <t>2026-06-22</t>
        </is>
      </c>
      <c r="B69" s="2" t="inlineStr">
        <is>
          <t>AI需求外溢至制造环节，半导体设备ETF涨近3%</t>
        </is>
      </c>
      <c r="C69" s="2" t="inlineStr">
        <is>
          <t>半导体</t>
        </is>
      </c>
      <c r="D69" s="2" t="inlineStr">
        <is>
          <t>medium</t>
        </is>
      </c>
      <c r="E69" s="2" t="inlineStr">
        <is>
          <t>AI算力需求向晶圆制造、封装测试等设备环节传导，半导体设备ETF（易方达）涨2.94%，市场关注国产半导体设备厂商替代机会</t>
        </is>
      </c>
      <c r="F69" s="2" t="inlineStr">
        <is>
          <t>半导体设备ETF涨2.94%</t>
        </is>
      </c>
      <c r="G69" s="2" t="inlineStr">
        <is>
          <t>国产半导体设备迎AI需求+自主可控双重催化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2026-06-22T07:47:08Z</dcterms:created>
  <dcterms:modified xmlns:dcterms="http://purl.org/dc/terms/" xmlns:xsi="http://www.w3.org/2001/XMLSchema-instance" xsi:type="dcterms:W3CDTF">2026-06-22T07:47:08Z</dcterms:modified>
</cp:coreProperties>
</file>