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概览" sheetId="1" state="visible" r:id="rId1"/>
    <sheet xmlns:r="http://schemas.openxmlformats.org/officeDocument/2006/relationships" name="消费品牌AI" sheetId="2" state="visible" r:id="rId2"/>
    <sheet xmlns:r="http://schemas.openxmlformats.org/officeDocument/2006/relationships" name="AI大模型" sheetId="3" state="visible" r:id="rId3"/>
    <sheet xmlns:r="http://schemas.openxmlformats.org/officeDocument/2006/relationships" name="股市趋势" sheetId="4" state="visible" r:id="rId4"/>
    <sheet xmlns:r="http://schemas.openxmlformats.org/officeDocument/2006/relationships" name="半导体指标" sheetId="5" state="visible" r:id="rId5"/>
    <sheet xmlns:r="http://schemas.openxmlformats.org/officeDocument/2006/relationships" name="顶会论文" sheetId="6" state="visible" r:id="rId6"/>
    <sheet xmlns:r="http://schemas.openxmlformats.org/officeDocument/2006/relationships" name="科技新闻" sheetId="7" state="visible" r:id="rId7"/>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4E78"/>
      <sz val="16"/>
    </font>
    <font>
      <b val="1"/>
      <color rgb="001F4E78"/>
      <sz val="12"/>
    </font>
    <font>
      <b val="1"/>
      <color rgb="00FFFFFF"/>
      <sz val="11"/>
    </font>
    <font>
      <b val="1"/>
    </font>
  </fonts>
  <fills count="3">
    <fill>
      <patternFill/>
    </fill>
    <fill>
      <patternFill patternType="gray125"/>
    </fill>
    <fill>
      <patternFill patternType="solid">
        <fgColor rgb="001F4E78"/>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0" fillId="0" borderId="1" applyAlignment="1" pivotButton="0" quotePrefix="0" xfId="0">
      <alignment horizontal="left" vertical="center" wrapText="1"/>
    </xf>
    <xf numFmtId="0" fontId="0" fillId="0" borderId="1" applyAlignment="1" pivotButton="0" quotePrefix="0" xfId="0">
      <alignment horizontal="center" vertical="center" wrapText="1"/>
    </xf>
    <xf numFmtId="0" fontId="4" fillId="0" borderId="1" applyAlignment="1" pivotButton="0" quotePrefix="0" xfId="0">
      <alignment horizontal="left" vertical="center" wrapText="1"/>
    </xf>
    <xf numFmtId="0" fontId="4" fillId="0" borderId="1" applyAlignment="1" pivotButton="0" quotePrefix="0" xfId="0">
      <alignment horizontal="center" vertical="center" wrapText="1"/>
    </xf>
    <xf numFmtId="0" fontId="4" fillId="0" borderId="0" pivotButton="0" quotePrefix="0" xfId="0"/>
  </cellXfs>
  <cellStyles count="1">
    <cellStyle name="Normal" xfId="0" builtinId="0" hidden="0"/>
  </cellStyles>
  <dxfs count="2">
    <dxf>
      <fill>
        <patternFill patternType="solid">
          <fgColor rgb="00FFD700"/>
        </patternFill>
      </fill>
    </dxf>
    <dxf>
      <fill>
        <patternFill patternType="solid">
          <fgColor rgb="00C0C0C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消费品牌 AI 能力雷达图</a:t>
            </a:r>
          </a:p>
        </rich>
      </tx>
    </title>
    <plotArea>
      <radarChart>
        <radarStyle val="filled"/>
        <ser>
          <idx val="0"/>
          <order val="0"/>
          <tx>
            <strRef>
              <f>'消费品牌AI'!K1</f>
            </strRef>
          </tx>
          <spPr>
            <a:solidFill xmlns:a="http://schemas.openxmlformats.org/drawingml/2006/main">
              <a:srgbClr val="E74C3C"/>
            </a:solidFill>
            <a:ln xmlns:a="http://schemas.openxmlformats.org/drawingml/2006/main">
              <a:solidFill>
                <a:srgbClr val="E74C3C"/>
              </a:solidFill>
              <a:prstDash val="solid"/>
            </a:ln>
          </spPr>
          <marker>
            <symbol val="none"/>
            <spPr>
              <a:ln xmlns:a="http://schemas.openxmlformats.org/drawingml/2006/main">
                <a:prstDash val="solid"/>
              </a:ln>
            </spPr>
          </marker>
          <cat>
            <numRef>
              <f>'消费品牌AI'!$J$2:$J$6</f>
            </numRef>
          </cat>
          <val>
            <numRef>
              <f>'消费品牌AI'!$K$2:$K$6</f>
            </numRef>
          </val>
        </ser>
        <ser>
          <idx val="1"/>
          <order val="1"/>
          <tx>
            <strRef>
              <f>'消费品牌AI'!L1</f>
            </strRef>
          </tx>
          <spPr>
            <a:solidFill xmlns:a="http://schemas.openxmlformats.org/drawingml/2006/main">
              <a:srgbClr val="3498DB"/>
            </a:solidFill>
            <a:ln xmlns:a="http://schemas.openxmlformats.org/drawingml/2006/main">
              <a:solidFill>
                <a:srgbClr val="3498DB"/>
              </a:solidFill>
              <a:prstDash val="solid"/>
            </a:ln>
          </spPr>
          <marker>
            <symbol val="none"/>
            <spPr>
              <a:ln xmlns:a="http://schemas.openxmlformats.org/drawingml/2006/main">
                <a:prstDash val="solid"/>
              </a:ln>
            </spPr>
          </marker>
          <cat>
            <numRef>
              <f>'消费品牌AI'!$J$2:$J$6</f>
            </numRef>
          </cat>
          <val>
            <numRef>
              <f>'消费品牌AI'!$L$2:$L$6</f>
            </numRef>
          </val>
        </ser>
        <ser>
          <idx val="2"/>
          <order val="2"/>
          <tx>
            <strRef>
              <f>'消费品牌AI'!M1</f>
            </strRef>
          </tx>
          <spPr>
            <a:solidFill xmlns:a="http://schemas.openxmlformats.org/drawingml/2006/main">
              <a:srgbClr val="2ECC71"/>
            </a:solidFill>
            <a:ln xmlns:a="http://schemas.openxmlformats.org/drawingml/2006/main">
              <a:solidFill>
                <a:srgbClr val="2ECC71"/>
              </a:solidFill>
              <a:prstDash val="solid"/>
            </a:ln>
          </spPr>
          <marker>
            <symbol val="none"/>
            <spPr>
              <a:ln xmlns:a="http://schemas.openxmlformats.org/drawingml/2006/main">
                <a:prstDash val="solid"/>
              </a:ln>
            </spPr>
          </marker>
          <cat>
            <numRef>
              <f>'消费品牌AI'!$J$2:$J$6</f>
            </numRef>
          </cat>
          <val>
            <numRef>
              <f>'消费品牌AI'!$M$2:$M$6</f>
            </numRef>
          </val>
        </ser>
        <ser>
          <idx val="3"/>
          <order val="3"/>
          <tx>
            <strRef>
              <f>'消费品牌AI'!N1</f>
            </strRef>
          </tx>
          <spPr>
            <a:solidFill xmlns:a="http://schemas.openxmlformats.org/drawingml/2006/main">
              <a:srgbClr val="9B59B6"/>
            </a:solidFill>
            <a:ln xmlns:a="http://schemas.openxmlformats.org/drawingml/2006/main">
              <a:solidFill>
                <a:srgbClr val="9B59B6"/>
              </a:solidFill>
              <a:prstDash val="solid"/>
            </a:ln>
          </spPr>
          <marker>
            <symbol val="none"/>
            <spPr>
              <a:ln xmlns:a="http://schemas.openxmlformats.org/drawingml/2006/main">
                <a:prstDash val="solid"/>
              </a:ln>
            </spPr>
          </marker>
          <cat>
            <numRef>
              <f>'消费品牌AI'!$J$2:$J$6</f>
            </numRef>
          </cat>
          <val>
            <numRef>
              <f>'消费品牌AI'!$N$2:$N$6</f>
            </numRef>
          </val>
        </ser>
        <ser>
          <idx val="4"/>
          <order val="4"/>
          <tx>
            <strRef>
              <f>'消费品牌AI'!O1</f>
            </strRef>
          </tx>
          <spPr>
            <a:solidFill xmlns:a="http://schemas.openxmlformats.org/drawingml/2006/main">
              <a:srgbClr val="E67E22"/>
            </a:solidFill>
            <a:ln xmlns:a="http://schemas.openxmlformats.org/drawingml/2006/main">
              <a:solidFill>
                <a:srgbClr val="E67E22"/>
              </a:solidFill>
              <a:prstDash val="solid"/>
            </a:ln>
          </spPr>
          <marker>
            <symbol val="none"/>
            <spPr>
              <a:ln xmlns:a="http://schemas.openxmlformats.org/drawingml/2006/main">
                <a:prstDash val="solid"/>
              </a:ln>
            </spPr>
          </marker>
          <cat>
            <numRef>
              <f>'消费品牌AI'!$J$2:$J$6</f>
            </numRef>
          </cat>
          <val>
            <numRef>
              <f>'消费品牌AI'!$O$2:$O$6</f>
            </numRef>
          </val>
        </ser>
        <ser>
          <idx val="5"/>
          <order val="5"/>
          <tx>
            <strRef>
              <f>'消费品牌AI'!P1</f>
            </strRef>
          </tx>
          <spPr>
            <a:solidFill xmlns:a="http://schemas.openxmlformats.org/drawingml/2006/main">
              <a:srgbClr val="1ABC9C"/>
            </a:solidFill>
            <a:ln xmlns:a="http://schemas.openxmlformats.org/drawingml/2006/main">
              <a:solidFill>
                <a:srgbClr val="1ABC9C"/>
              </a:solidFill>
              <a:prstDash val="solid"/>
            </a:ln>
          </spPr>
          <marker>
            <symbol val="none"/>
            <spPr>
              <a:ln xmlns:a="http://schemas.openxmlformats.org/drawingml/2006/main">
                <a:prstDash val="solid"/>
              </a:ln>
            </spPr>
          </marker>
          <cat>
            <numRef>
              <f>'消费品牌AI'!$J$2:$J$6</f>
            </numRef>
          </cat>
          <val>
            <numRef>
              <f>'消费品牌AI'!$P$2:$P$6</f>
            </numRef>
          </val>
        </ser>
        <ser>
          <idx val="6"/>
          <order val="6"/>
          <tx>
            <strRef>
              <f>'消费品牌AI'!Q1</f>
            </strRef>
          </tx>
          <spPr>
            <a:solidFill xmlns:a="http://schemas.openxmlformats.org/drawingml/2006/main">
              <a:srgbClr val="F1C40F"/>
            </a:solidFill>
            <a:ln xmlns:a="http://schemas.openxmlformats.org/drawingml/2006/main">
              <a:solidFill>
                <a:srgbClr val="F1C40F"/>
              </a:solidFill>
              <a:prstDash val="solid"/>
            </a:ln>
          </spPr>
          <marker>
            <symbol val="none"/>
            <spPr>
              <a:ln xmlns:a="http://schemas.openxmlformats.org/drawingml/2006/main">
                <a:prstDash val="solid"/>
              </a:ln>
            </spPr>
          </marker>
          <cat>
            <numRef>
              <f>'消费品牌AI'!$J$2:$J$6</f>
            </numRef>
          </cat>
          <val>
            <numRef>
              <f>'消费品牌AI'!$Q$2:$Q$6</f>
            </numRef>
          </val>
        </ser>
        <ser>
          <idx val="7"/>
          <order val="7"/>
          <tx>
            <strRef>
              <f>'消费品牌AI'!R1</f>
            </strRef>
          </tx>
          <spPr>
            <a:solidFill xmlns:a="http://schemas.openxmlformats.org/drawingml/2006/main">
              <a:srgbClr val="E91E63"/>
            </a:solidFill>
            <a:ln xmlns:a="http://schemas.openxmlformats.org/drawingml/2006/main">
              <a:solidFill>
                <a:srgbClr val="E91E63"/>
              </a:solidFill>
              <a:prstDash val="solid"/>
            </a:ln>
          </spPr>
          <marker>
            <symbol val="none"/>
            <spPr>
              <a:ln xmlns:a="http://schemas.openxmlformats.org/drawingml/2006/main">
                <a:prstDash val="solid"/>
              </a:ln>
            </spPr>
          </marker>
          <cat>
            <numRef>
              <f>'消费品牌AI'!$J$2:$J$6</f>
            </numRef>
          </cat>
          <val>
            <numRef>
              <f>'消费品牌AI'!$R$2:$R$6</f>
            </numRef>
          </val>
        </ser>
        <ser>
          <idx val="8"/>
          <order val="8"/>
          <tx>
            <strRef>
              <f>'消费品牌AI'!S1</f>
            </strRef>
          </tx>
          <spPr>
            <a:solidFill xmlns:a="http://schemas.openxmlformats.org/drawingml/2006/main">
              <a:srgbClr val="00BCD4"/>
            </a:solidFill>
            <a:ln xmlns:a="http://schemas.openxmlformats.org/drawingml/2006/main">
              <a:solidFill>
                <a:srgbClr val="00BCD4"/>
              </a:solidFill>
              <a:prstDash val="solid"/>
            </a:ln>
          </spPr>
          <marker>
            <symbol val="none"/>
            <spPr>
              <a:ln xmlns:a="http://schemas.openxmlformats.org/drawingml/2006/main">
                <a:prstDash val="solid"/>
              </a:ln>
            </spPr>
          </marker>
          <cat>
            <numRef>
              <f>'消费品牌AI'!$J$2:$J$6</f>
            </numRef>
          </cat>
          <val>
            <numRef>
              <f>'消费品牌AI'!$S$2:$S$6</f>
            </numRef>
          </val>
        </ser>
        <ser>
          <idx val="9"/>
          <order val="9"/>
          <tx>
            <strRef>
              <f>'消费品牌AI'!T1</f>
            </strRef>
          </tx>
          <spPr>
            <a:solidFill xmlns:a="http://schemas.openxmlformats.org/drawingml/2006/main">
              <a:srgbClr val="8BC34A"/>
            </a:solidFill>
            <a:ln xmlns:a="http://schemas.openxmlformats.org/drawingml/2006/main">
              <a:solidFill>
                <a:srgbClr val="8BC34A"/>
              </a:solidFill>
              <a:prstDash val="solid"/>
            </a:ln>
          </spPr>
          <marker>
            <symbol val="none"/>
            <spPr>
              <a:ln xmlns:a="http://schemas.openxmlformats.org/drawingml/2006/main">
                <a:prstDash val="solid"/>
              </a:ln>
            </spPr>
          </marker>
          <cat>
            <numRef>
              <f>'消费品牌AI'!$J$2:$J$6</f>
            </numRef>
          </cat>
          <val>
            <numRef>
              <f>'消费品牌AI'!$T$2:$T$6</f>
            </numRef>
          </val>
        </ser>
        <ser>
          <idx val="10"/>
          <order val="10"/>
          <tx>
            <strRef>
              <f>'消费品牌AI'!U1</f>
            </strRef>
          </tx>
          <spPr>
            <a:solidFill xmlns:a="http://schemas.openxmlformats.org/drawingml/2006/main">
              <a:srgbClr val="FF5722"/>
            </a:solidFill>
            <a:ln xmlns:a="http://schemas.openxmlformats.org/drawingml/2006/main">
              <a:solidFill>
                <a:srgbClr val="FF5722"/>
              </a:solidFill>
              <a:prstDash val="solid"/>
            </a:ln>
          </spPr>
          <marker>
            <symbol val="none"/>
            <spPr>
              <a:ln xmlns:a="http://schemas.openxmlformats.org/drawingml/2006/main">
                <a:prstDash val="solid"/>
              </a:ln>
            </spPr>
          </marker>
          <cat>
            <numRef>
              <f>'消费品牌AI'!$J$2:$J$6</f>
            </numRef>
          </cat>
          <val>
            <numRef>
              <f>'消费品牌AI'!$U$2:$U$6</f>
            </numRef>
          </val>
        </ser>
        <ser>
          <idx val="11"/>
          <order val="11"/>
          <tx>
            <strRef>
              <f>'消费品牌AI'!V1</f>
            </strRef>
          </tx>
          <spPr>
            <a:solidFill xmlns:a="http://schemas.openxmlformats.org/drawingml/2006/main">
              <a:srgbClr val="795548"/>
            </a:solidFill>
            <a:ln xmlns:a="http://schemas.openxmlformats.org/drawingml/2006/main">
              <a:solidFill>
                <a:srgbClr val="795548"/>
              </a:solidFill>
              <a:prstDash val="solid"/>
            </a:ln>
          </spPr>
          <marker>
            <symbol val="none"/>
            <spPr>
              <a:ln xmlns:a="http://schemas.openxmlformats.org/drawingml/2006/main">
                <a:prstDash val="solid"/>
              </a:ln>
            </spPr>
          </marker>
          <cat>
            <numRef>
              <f>'消费品牌AI'!$J$2:$J$6</f>
            </numRef>
          </cat>
          <val>
            <numRef>
              <f>'消费品牌AI'!$V$2:$V$6</f>
            </numRef>
          </val>
        </ser>
        <ser>
          <idx val="12"/>
          <order val="12"/>
          <tx>
            <strRef>
              <f>'消费品牌AI'!W1</f>
            </strRef>
          </tx>
          <spPr>
            <a:solidFill xmlns:a="http://schemas.openxmlformats.org/drawingml/2006/main">
              <a:srgbClr val="607D8B"/>
            </a:solidFill>
            <a:ln xmlns:a="http://schemas.openxmlformats.org/drawingml/2006/main">
              <a:solidFill>
                <a:srgbClr val="607D8B"/>
              </a:solidFill>
              <a:prstDash val="solid"/>
            </a:ln>
          </spPr>
          <marker>
            <symbol val="none"/>
            <spPr>
              <a:ln xmlns:a="http://schemas.openxmlformats.org/drawingml/2006/main">
                <a:prstDash val="solid"/>
              </a:ln>
            </spPr>
          </marker>
          <cat>
            <numRef>
              <f>'消费品牌AI'!$J$2:$J$6</f>
            </numRef>
          </cat>
          <val>
            <numRef>
              <f>'消费品牌AI'!$W$2:$W$6</f>
            </numRef>
          </val>
        </ser>
        <ser>
          <idx val="13"/>
          <order val="13"/>
          <tx>
            <strRef>
              <f>'消费品牌AI'!X1</f>
            </strRef>
          </tx>
          <spPr>
            <a:solidFill xmlns:a="http://schemas.openxmlformats.org/drawingml/2006/main">
              <a:srgbClr val="3F51B5"/>
            </a:solidFill>
            <a:ln xmlns:a="http://schemas.openxmlformats.org/drawingml/2006/main">
              <a:solidFill>
                <a:srgbClr val="3F51B5"/>
              </a:solidFill>
              <a:prstDash val="solid"/>
            </a:ln>
          </spPr>
          <marker>
            <symbol val="none"/>
            <spPr>
              <a:ln xmlns:a="http://schemas.openxmlformats.org/drawingml/2006/main">
                <a:prstDash val="solid"/>
              </a:ln>
            </spPr>
          </marker>
          <cat>
            <numRef>
              <f>'消费品牌AI'!$J$2:$J$6</f>
            </numRef>
          </cat>
          <val>
            <numRef>
              <f>'消费品牌AI'!$X$2:$X$6</f>
            </numRef>
          </val>
        </ser>
        <ser>
          <idx val="14"/>
          <order val="14"/>
          <tx>
            <strRef>
              <f>'消费品牌AI'!Y1</f>
            </strRef>
          </tx>
          <spPr>
            <a:solidFill xmlns:a="http://schemas.openxmlformats.org/drawingml/2006/main">
              <a:srgbClr val="9C27B0"/>
            </a:solidFill>
            <a:ln xmlns:a="http://schemas.openxmlformats.org/drawingml/2006/main">
              <a:solidFill>
                <a:srgbClr val="9C27B0"/>
              </a:solidFill>
              <a:prstDash val="solid"/>
            </a:ln>
          </spPr>
          <marker>
            <symbol val="none"/>
            <spPr>
              <a:ln xmlns:a="http://schemas.openxmlformats.org/drawingml/2006/main">
                <a:prstDash val="solid"/>
              </a:ln>
            </spPr>
          </marker>
          <cat>
            <numRef>
              <f>'消费品牌AI'!$J$2:$J$6</f>
            </numRef>
          </cat>
          <val>
            <numRef>
              <f>'消费品牌AI'!$Y$2:$Y$6</f>
            </numRef>
          </val>
        </ser>
        <axId val="10"/>
        <axId val="100"/>
      </radarChart>
      <catAx>
        <axId val="10"/>
        <scaling>
          <orientation val="minMax"/>
        </scaling>
        <axPos val="l"/>
        <majorTickMark val="none"/>
        <minorTickMark val="none"/>
        <crossAx val="100"/>
        <lblOffset val="100"/>
      </catAx>
      <valAx>
        <axId val="100"/>
        <scaling>
          <orientation val="minMax"/>
        </scaling>
        <delete val="1"/>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style val="10"/>
  <chart>
    <title>
      <tx>
        <rich>
          <a:bodyPr xmlns:a="http://schemas.openxmlformats.org/drawingml/2006/main"/>
          <a:p xmlns:a="http://schemas.openxmlformats.org/drawingml/2006/main">
            <a:pPr>
              <a:defRPr/>
            </a:pPr>
            <a:r>
              <a:t>AI 大模型能力雷达图</a:t>
            </a:r>
          </a:p>
        </rich>
      </tx>
    </title>
    <plotArea>
      <radarChart>
        <radarStyle val="filled"/>
        <ser>
          <idx val="0"/>
          <order val="0"/>
          <tx>
            <strRef>
              <f>'AI大模型'!M1</f>
            </strRef>
          </tx>
          <spPr>
            <a:solidFill xmlns:a="http://schemas.openxmlformats.org/drawingml/2006/main">
              <a:srgbClr val="E74C3C"/>
            </a:solidFill>
            <a:ln xmlns:a="http://schemas.openxmlformats.org/drawingml/2006/main">
              <a:solidFill>
                <a:srgbClr val="E74C3C"/>
              </a:solidFill>
              <a:prstDash val="solid"/>
            </a:ln>
          </spPr>
          <marker>
            <symbol val="none"/>
            <spPr>
              <a:ln xmlns:a="http://schemas.openxmlformats.org/drawingml/2006/main">
                <a:prstDash val="solid"/>
              </a:ln>
            </spPr>
          </marker>
          <cat>
            <numRef>
              <f>'AI大模型'!$L$2:$L$7</f>
            </numRef>
          </cat>
          <val>
            <numRef>
              <f>'AI大模型'!$M$2:$M$7</f>
            </numRef>
          </val>
        </ser>
        <ser>
          <idx val="1"/>
          <order val="1"/>
          <tx>
            <strRef>
              <f>'AI大模型'!N1</f>
            </strRef>
          </tx>
          <spPr>
            <a:solidFill xmlns:a="http://schemas.openxmlformats.org/drawingml/2006/main">
              <a:srgbClr val="3498DB"/>
            </a:solidFill>
            <a:ln xmlns:a="http://schemas.openxmlformats.org/drawingml/2006/main">
              <a:solidFill>
                <a:srgbClr val="3498DB"/>
              </a:solidFill>
              <a:prstDash val="solid"/>
            </a:ln>
          </spPr>
          <marker>
            <symbol val="none"/>
            <spPr>
              <a:ln xmlns:a="http://schemas.openxmlformats.org/drawingml/2006/main">
                <a:prstDash val="solid"/>
              </a:ln>
            </spPr>
          </marker>
          <cat>
            <numRef>
              <f>'AI大模型'!$L$2:$L$7</f>
            </numRef>
          </cat>
          <val>
            <numRef>
              <f>'AI大模型'!$N$2:$N$7</f>
            </numRef>
          </val>
        </ser>
        <ser>
          <idx val="2"/>
          <order val="2"/>
          <tx>
            <strRef>
              <f>'AI大模型'!O1</f>
            </strRef>
          </tx>
          <spPr>
            <a:solidFill xmlns:a="http://schemas.openxmlformats.org/drawingml/2006/main">
              <a:srgbClr val="2ECC71"/>
            </a:solidFill>
            <a:ln xmlns:a="http://schemas.openxmlformats.org/drawingml/2006/main">
              <a:solidFill>
                <a:srgbClr val="2ECC71"/>
              </a:solidFill>
              <a:prstDash val="solid"/>
            </a:ln>
          </spPr>
          <marker>
            <symbol val="none"/>
            <spPr>
              <a:ln xmlns:a="http://schemas.openxmlformats.org/drawingml/2006/main">
                <a:prstDash val="solid"/>
              </a:ln>
            </spPr>
          </marker>
          <cat>
            <numRef>
              <f>'AI大模型'!$L$2:$L$7</f>
            </numRef>
          </cat>
          <val>
            <numRef>
              <f>'AI大模型'!$O$2:$O$7</f>
            </numRef>
          </val>
        </ser>
        <ser>
          <idx val="3"/>
          <order val="3"/>
          <tx>
            <strRef>
              <f>'AI大模型'!P1</f>
            </strRef>
          </tx>
          <spPr>
            <a:solidFill xmlns:a="http://schemas.openxmlformats.org/drawingml/2006/main">
              <a:srgbClr val="9B59B6"/>
            </a:solidFill>
            <a:ln xmlns:a="http://schemas.openxmlformats.org/drawingml/2006/main">
              <a:solidFill>
                <a:srgbClr val="9B59B6"/>
              </a:solidFill>
              <a:prstDash val="solid"/>
            </a:ln>
          </spPr>
          <marker>
            <symbol val="none"/>
            <spPr>
              <a:ln xmlns:a="http://schemas.openxmlformats.org/drawingml/2006/main">
                <a:prstDash val="solid"/>
              </a:ln>
            </spPr>
          </marker>
          <cat>
            <numRef>
              <f>'AI大模型'!$L$2:$L$7</f>
            </numRef>
          </cat>
          <val>
            <numRef>
              <f>'AI大模型'!$P$2:$P$7</f>
            </numRef>
          </val>
        </ser>
        <ser>
          <idx val="4"/>
          <order val="4"/>
          <tx>
            <strRef>
              <f>'AI大模型'!Q1</f>
            </strRef>
          </tx>
          <spPr>
            <a:solidFill xmlns:a="http://schemas.openxmlformats.org/drawingml/2006/main">
              <a:srgbClr val="E67E22"/>
            </a:solidFill>
            <a:ln xmlns:a="http://schemas.openxmlformats.org/drawingml/2006/main">
              <a:solidFill>
                <a:srgbClr val="E67E22"/>
              </a:solidFill>
              <a:prstDash val="solid"/>
            </a:ln>
          </spPr>
          <marker>
            <symbol val="none"/>
            <spPr>
              <a:ln xmlns:a="http://schemas.openxmlformats.org/drawingml/2006/main">
                <a:prstDash val="solid"/>
              </a:ln>
            </spPr>
          </marker>
          <cat>
            <numRef>
              <f>'AI大模型'!$L$2:$L$7</f>
            </numRef>
          </cat>
          <val>
            <numRef>
              <f>'AI大模型'!$Q$2:$Q$7</f>
            </numRef>
          </val>
        </ser>
        <ser>
          <idx val="5"/>
          <order val="5"/>
          <tx>
            <strRef>
              <f>'AI大模型'!R1</f>
            </strRef>
          </tx>
          <spPr>
            <a:solidFill xmlns:a="http://schemas.openxmlformats.org/drawingml/2006/main">
              <a:srgbClr val="1ABC9C"/>
            </a:solidFill>
            <a:ln xmlns:a="http://schemas.openxmlformats.org/drawingml/2006/main">
              <a:solidFill>
                <a:srgbClr val="1ABC9C"/>
              </a:solidFill>
              <a:prstDash val="solid"/>
            </a:ln>
          </spPr>
          <marker>
            <symbol val="none"/>
            <spPr>
              <a:ln xmlns:a="http://schemas.openxmlformats.org/drawingml/2006/main">
                <a:prstDash val="solid"/>
              </a:ln>
            </spPr>
          </marker>
          <cat>
            <numRef>
              <f>'AI大模型'!$L$2:$L$7</f>
            </numRef>
          </cat>
          <val>
            <numRef>
              <f>'AI大模型'!$R$2:$R$7</f>
            </numRef>
          </val>
        </ser>
        <axId val="10"/>
        <axId val="100"/>
      </radarChart>
      <catAx>
        <axId val="10"/>
        <scaling>
          <orientation val="minMax"/>
        </scaling>
        <axPos val="l"/>
        <majorTickMark val="none"/>
        <minorTickMark val="none"/>
        <crossAx val="100"/>
        <lblOffset val="100"/>
      </catAx>
      <valAx>
        <axId val="100"/>
        <scaling>
          <orientation val="minMax"/>
        </scaling>
        <delete val="1"/>
        <axPos val="l"/>
        <majorGridlines/>
        <majorTickMark val="none"/>
        <minorTickMark val="none"/>
        <crossAx val="10"/>
      </valAx>
    </plotArea>
    <legend>
      <legendPos val="r"/>
    </legend>
    <plotVisOnly val="1"/>
    <dispBlanksAs val="gap"/>
  </chart>
</chartSpace>
</file>

<file path=xl/charts/chart3.xml><?xml version="1.0" encoding="utf-8"?>
<chartSpace xmlns="http://schemas.openxmlformats.org/drawingml/2006/chart">
  <style val="10"/>
  <chart>
    <title>
      <tx>
        <rich>
          <a:bodyPr xmlns:a="http://schemas.openxmlformats.org/drawingml/2006/main"/>
          <a:p xmlns:a="http://schemas.openxmlformats.org/drawingml/2006/main">
            <a:pPr>
              <a:defRPr/>
            </a:pPr>
            <a:r>
              <a:t>大模型 API 价格对比（$/1M tokens）</a:t>
            </a:r>
          </a:p>
        </rich>
      </tx>
    </title>
    <plotArea>
      <barChart>
        <barDir val="col"/>
        <grouping val="clustered"/>
        <ser>
          <idx val="0"/>
          <order val="0"/>
          <tx>
            <strRef>
              <f>'AI大模型'!B15</f>
            </strRef>
          </tx>
          <spPr>
            <a:ln xmlns:a="http://schemas.openxmlformats.org/drawingml/2006/main">
              <a:prstDash val="solid"/>
            </a:ln>
          </spPr>
          <cat>
            <numRef>
              <f>'AI大模型'!$A$16:$A$26</f>
            </numRef>
          </cat>
          <val>
            <numRef>
              <f>'AI大模型'!$B$16:$B$26</f>
            </numRef>
          </val>
        </ser>
        <ser>
          <idx val="1"/>
          <order val="1"/>
          <tx>
            <strRef>
              <f>'AI大模型'!C15</f>
            </strRef>
          </tx>
          <spPr>
            <a:ln xmlns:a="http://schemas.openxmlformats.org/drawingml/2006/main">
              <a:prstDash val="solid"/>
            </a:ln>
          </spPr>
          <cat>
            <numRef>
              <f>'AI大模型'!$A$16:$A$26</f>
            </numRef>
          </cat>
          <val>
            <numRef>
              <f>'AI大模型'!$C$16:$C$26</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模型</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价格</a:t>
                </a:r>
              </a:p>
            </rich>
          </tx>
        </title>
        <majorTickMark val="none"/>
        <minorTickMark val="none"/>
        <crossAx val="10"/>
      </valAx>
    </plotArea>
    <legend>
      <legendPos val="r"/>
    </legend>
    <plotVisOnly val="1"/>
    <dispBlanksAs val="gap"/>
  </chart>
</chartSpace>
</file>

<file path=xl/charts/chart4.xml><?xml version="1.0" encoding="utf-8"?>
<chartSpace xmlns="http://schemas.openxmlformats.org/drawingml/2006/chart">
  <style val="10"/>
  <chart>
    <title>
      <tx>
        <rich>
          <a:bodyPr xmlns:a="http://schemas.openxmlformats.org/drawingml/2006/main"/>
          <a:p xmlns:a="http://schemas.openxmlformats.org/drawingml/2006/main">
            <a:pPr>
              <a:defRPr/>
            </a:pPr>
            <a:r>
              <a:t>三大股指月度趋势</a:t>
            </a:r>
          </a:p>
        </rich>
      </tx>
    </title>
    <plotArea>
      <lineChart>
        <grouping val="standard"/>
        <ser>
          <idx val="0"/>
          <order val="0"/>
          <tx>
            <strRef>
              <f>'股市趋势'!B1</f>
            </strRef>
          </tx>
          <spPr>
            <a:ln xmlns:a="http://schemas.openxmlformats.org/drawingml/2006/main" w="30000">
              <a:solidFill>
                <a:srgbClr val="E74C3C"/>
              </a:solidFill>
              <a:prstDash val="solid"/>
            </a:ln>
          </spPr>
          <marker>
            <symbol val="circle"/>
            <size val="7"/>
            <spPr>
              <a:solidFill xmlns:a="http://schemas.openxmlformats.org/drawingml/2006/main">
                <a:srgbClr val="E74C3C"/>
              </a:solidFill>
              <a:ln xmlns:a="http://schemas.openxmlformats.org/drawingml/2006/main">
                <a:solidFill>
                  <a:srgbClr val="E74C3C"/>
                </a:solidFill>
                <a:prstDash val="solid"/>
              </a:ln>
            </spPr>
          </marker>
          <cat>
            <numRef>
              <f>'股市趋势'!$A$2:$A$7</f>
            </numRef>
          </cat>
          <val>
            <numRef>
              <f>'股市趋势'!$B$2:$B$7</f>
            </numRef>
          </val>
        </ser>
        <ser>
          <idx val="1"/>
          <order val="1"/>
          <tx>
            <strRef>
              <f>'股市趋势'!C1</f>
            </strRef>
          </tx>
          <spPr>
            <a:ln xmlns:a="http://schemas.openxmlformats.org/drawingml/2006/main" w="30000">
              <a:solidFill>
                <a:srgbClr val="3498DB"/>
              </a:solidFill>
              <a:prstDash val="solid"/>
            </a:ln>
          </spPr>
          <marker>
            <symbol val="circle"/>
            <size val="7"/>
            <spPr>
              <a:solidFill xmlns:a="http://schemas.openxmlformats.org/drawingml/2006/main">
                <a:srgbClr val="3498DB"/>
              </a:solidFill>
              <a:ln xmlns:a="http://schemas.openxmlformats.org/drawingml/2006/main">
                <a:solidFill>
                  <a:srgbClr val="3498DB"/>
                </a:solidFill>
                <a:prstDash val="solid"/>
              </a:ln>
            </spPr>
          </marker>
          <cat>
            <numRef>
              <f>'股市趋势'!$A$2:$A$7</f>
            </numRef>
          </cat>
          <val>
            <numRef>
              <f>'股市趋势'!$C$2:$C$7</f>
            </numRef>
          </val>
        </ser>
        <ser>
          <idx val="2"/>
          <order val="2"/>
          <tx>
            <strRef>
              <f>'股市趋势'!D1</f>
            </strRef>
          </tx>
          <spPr>
            <a:ln xmlns:a="http://schemas.openxmlformats.org/drawingml/2006/main" w="30000">
              <a:solidFill>
                <a:srgbClr val="2ECC71"/>
              </a:solidFill>
              <a:prstDash val="solid"/>
            </a:ln>
          </spPr>
          <marker>
            <symbol val="circle"/>
            <size val="7"/>
            <spPr>
              <a:solidFill xmlns:a="http://schemas.openxmlformats.org/drawingml/2006/main">
                <a:srgbClr val="2ECC71"/>
              </a:solidFill>
              <a:ln xmlns:a="http://schemas.openxmlformats.org/drawingml/2006/main">
                <a:solidFill>
                  <a:srgbClr val="2ECC71"/>
                </a:solidFill>
                <a:prstDash val="solid"/>
              </a:ln>
            </spPr>
          </marker>
          <cat>
            <numRef>
              <f>'股市趋势'!$A$2:$A$7</f>
            </numRef>
          </cat>
          <val>
            <numRef>
              <f>'股市趋势'!$D$2:$D$7</f>
            </numRef>
          </val>
        </ser>
        <axId val="10"/>
        <axId val="100"/>
      </lineChart>
      <catAx>
        <axId val="10"/>
        <scaling>
          <orientation val="minMax"/>
        </scaling>
        <axPos val="l"/>
        <title>
          <tx>
            <rich>
              <a:bodyPr xmlns:a="http://schemas.openxmlformats.org/drawingml/2006/main"/>
              <a:p xmlns:a="http://schemas.openxmlformats.org/drawingml/2006/main">
                <a:pPr>
                  <a:defRPr/>
                </a:pPr>
                <a:r>
                  <a:t>月份</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指数点位</a:t>
                </a:r>
              </a:p>
            </rich>
          </tx>
        </title>
        <majorTickMark val="none"/>
        <minorTickMark val="none"/>
        <crossAx val="10"/>
      </valAx>
    </plotArea>
    <legend>
      <legendPos val="r"/>
    </legend>
    <plotVisOnly val="1"/>
    <dispBlanksAs val="gap"/>
  </chart>
</chartSpace>
</file>

<file path=xl/charts/chart5.xml><?xml version="1.0" encoding="utf-8"?>
<chartSpace xmlns="http://schemas.openxmlformats.org/drawingml/2006/chart">
  <style val="10"/>
  <chart>
    <title>
      <tx>
        <rich>
          <a:bodyPr xmlns:a="http://schemas.openxmlformats.org/drawingml/2006/main"/>
          <a:p xmlns:a="http://schemas.openxmlformats.org/drawingml/2006/main">
            <a:pPr>
              <a:defRPr/>
            </a:pPr>
            <a:r>
              <a:t>半导体关键指标</a:t>
            </a:r>
          </a:p>
        </rich>
      </tx>
    </title>
    <plotArea>
      <barChart>
        <barDir val="bar"/>
        <grouping val="clustered"/>
        <ser>
          <idx val="0"/>
          <order val="0"/>
          <tx>
            <strRef>
              <f>'半导体指标'!B1</f>
            </strRef>
          </tx>
          <spPr>
            <a:ln xmlns:a="http://schemas.openxmlformats.org/drawingml/2006/main">
              <a:prstDash val="solid"/>
            </a:ln>
          </spPr>
          <cat>
            <numRef>
              <f>'半导体指标'!$A$2:$A$9</f>
            </numRef>
          </cat>
          <val>
            <numRef>
              <f>'半导体指标'!$B$2:$B$9</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数值</a:t>
                </a:r>
              </a:p>
            </rich>
          </tx>
        </title>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 Type="http://schemas.openxmlformats.org/officeDocument/2006/relationships/chart" Target="/xl/charts/chart3.xml" Id="rId2"/></Relationships>
</file>

<file path=xl/drawings/_rels/drawing3.xml.rels><Relationships xmlns="http://schemas.openxmlformats.org/package/2006/relationships"><Relationship Type="http://schemas.openxmlformats.org/officeDocument/2006/relationships/chart" Target="/xl/charts/chart4.xml" Id="rId1"/></Relationships>
</file>

<file path=xl/drawings/_rels/drawing4.xml.rels><Relationships xmlns="http://schemas.openxmlformats.org/package/2006/relationships"><Relationship Type="http://schemas.openxmlformats.org/officeDocument/2006/relationships/chart" Target="/xl/charts/chart5.xml" Id="rId1"/></Relationships>
</file>

<file path=xl/drawings/drawing1.xml><?xml version="1.0" encoding="utf-8"?>
<wsDr xmlns="http://schemas.openxmlformats.org/drawingml/2006/spreadsheetDrawing">
  <oneCellAnchor>
    <from>
      <col>9</col>
      <colOff>0</colOff>
      <row>7</row>
      <rowOff>0</rowOff>
    </from>
    <ext cx="8640000" cy="57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11</col>
      <colOff>0</colOff>
      <row>0</row>
      <rowOff>0</rowOff>
    </from>
    <ext cx="7200000" cy="50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11</col>
      <colOff>0</colOff>
      <row>15</row>
      <rowOff>0</rowOff>
    </from>
    <ext cx="7200000" cy="50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3.xml><?xml version="1.0" encoding="utf-8"?>
<wsDr xmlns="http://schemas.openxmlformats.org/drawingml/2006/spreadsheetDrawing">
  <oneCellAnchor>
    <from>
      <col>5</col>
      <colOff>0</colOff>
      <row>1</row>
      <rowOff>0</rowOff>
    </from>
    <ext cx="8640000" cy="57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5</col>
      <colOff>0</colOff>
      <row>1</row>
      <rowOff>0</rowOff>
    </from>
    <ext cx="7200000" cy="57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22" customWidth="1" min="1" max="1"/>
    <col width="50" customWidth="1" min="2" max="2"/>
  </cols>
  <sheetData>
    <row r="1">
      <c r="A1" s="1" t="inlineStr">
        <is>
          <t>我的开发收藏夹 - 数据概览</t>
        </is>
      </c>
    </row>
    <row r="3">
      <c r="A3" s="2" t="inlineStr">
        <is>
          <t>标题</t>
        </is>
      </c>
      <c r="B3" t="inlineStr">
        <is>
          <t>我的开发收藏夹</t>
        </is>
      </c>
    </row>
    <row r="4">
      <c r="A4" s="2" t="inlineStr">
        <is>
          <t>最后更新</t>
        </is>
      </c>
      <c r="B4" t="inlineStr">
        <is>
          <t>2026-06-30</t>
        </is>
      </c>
    </row>
    <row r="5">
      <c r="A5" s="2" t="inlineStr">
        <is>
          <t>版本</t>
        </is>
      </c>
      <c r="B5" t="inlineStr">
        <is>
          <t>2.0</t>
        </is>
      </c>
    </row>
    <row r="6">
      <c r="A6" s="2" t="inlineStr">
        <is>
          <t>仓库</t>
        </is>
      </c>
      <c r="B6" t="inlineStr">
        <is>
          <t>https://github.com/sjkncs/my-dev-favorites</t>
        </is>
      </c>
    </row>
    <row r="9">
      <c r="A9" s="3" t="inlineStr">
        <is>
          <t>分类</t>
        </is>
      </c>
      <c r="B9" s="3" t="inlineStr">
        <is>
          <t>条目数</t>
        </is>
      </c>
    </row>
    <row r="10">
      <c r="A10" s="4" t="inlineStr">
        <is>
          <t>Tips</t>
        </is>
      </c>
      <c r="B10" s="5" t="n">
        <v>2</v>
      </c>
    </row>
    <row r="11">
      <c r="A11" s="4" t="inlineStr">
        <is>
          <t>Repos</t>
        </is>
      </c>
      <c r="B11" s="5" t="n">
        <v>57</v>
      </c>
    </row>
    <row r="12">
      <c r="A12" s="4" t="inlineStr">
        <is>
          <t>Consumer AI</t>
        </is>
      </c>
      <c r="B12" s="5" t="n">
        <v>37</v>
      </c>
    </row>
    <row r="13">
      <c r="A13" s="4" t="inlineStr">
        <is>
          <t>AI Models</t>
        </is>
      </c>
      <c r="B13" s="5" t="n">
        <v>11</v>
      </c>
    </row>
    <row r="14">
      <c r="A14" s="4" t="inlineStr">
        <is>
          <t>Tech News</t>
        </is>
      </c>
      <c r="B14" s="5" t="n">
        <v>102</v>
      </c>
    </row>
    <row r="15">
      <c r="A15" s="4" t="inlineStr">
        <is>
          <t>Stock Market</t>
        </is>
      </c>
      <c r="B15" s="5" t="n">
        <v>99</v>
      </c>
    </row>
    <row r="16">
      <c r="A16" s="4" t="inlineStr">
        <is>
          <t>Papers</t>
        </is>
      </c>
      <c r="B16" s="5" t="n">
        <v>100</v>
      </c>
    </row>
    <row r="17">
      <c r="A17" s="6" t="inlineStr">
        <is>
          <t>总计</t>
        </is>
      </c>
      <c r="B17" s="7">
        <f>SUM(B10:B16)</f>
        <v/>
      </c>
    </row>
  </sheetData>
  <mergeCells count="1">
    <mergeCell ref="A1:D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39"/>
  <sheetViews>
    <sheetView workbookViewId="0">
      <selection activeCell="A1" sqref="A1"/>
    </sheetView>
  </sheetViews>
  <sheetFormatPr baseColWidth="8" defaultRowHeight="15"/>
  <cols>
    <col width="12" customWidth="1" min="1" max="1"/>
    <col width="28" customWidth="1" min="2" max="2"/>
    <col width="18" customWidth="1" min="3" max="3"/>
    <col width="10" customWidth="1" min="4" max="4"/>
    <col width="12" customWidth="1" min="5" max="5"/>
    <col width="12" customWidth="1" min="6" max="6"/>
    <col width="12" customWidth="1" min="7" max="7"/>
    <col width="12" customWidth="1" min="8" max="8"/>
  </cols>
  <sheetData>
    <row r="1">
      <c r="A1" s="3" t="inlineStr">
        <is>
          <t>品牌</t>
        </is>
      </c>
      <c r="B1" s="3" t="inlineStr">
        <is>
          <t>工具</t>
        </is>
      </c>
      <c r="C1" s="3" t="inlineStr">
        <is>
          <t>类别</t>
        </is>
      </c>
      <c r="D1" s="3" t="inlineStr">
        <is>
          <t>AI深度</t>
        </is>
      </c>
      <c r="E1" s="3" t="inlineStr">
        <is>
          <t>用户体验</t>
        </is>
      </c>
      <c r="F1" s="3" t="inlineStr">
        <is>
          <t>部署规模</t>
        </is>
      </c>
      <c r="G1" s="3" t="inlineStr">
        <is>
          <t>技术壁垒</t>
        </is>
      </c>
      <c r="H1" s="3" t="inlineStr">
        <is>
          <t>商业化</t>
        </is>
      </c>
      <c r="J1" t="inlineStr">
        <is>
          <t>维度</t>
        </is>
      </c>
      <c r="K1" s="8" t="inlineStr">
        <is>
          <t>瑞幸咖啡</t>
        </is>
      </c>
      <c r="L1" s="8" t="inlineStr">
        <is>
          <t>喜茶</t>
        </is>
      </c>
      <c r="M1" s="8" t="inlineStr">
        <is>
          <t>奈雪的茶</t>
        </is>
      </c>
      <c r="N1" s="8" t="inlineStr">
        <is>
          <t>蜜雪冰城</t>
        </is>
      </c>
      <c r="O1" s="8" t="inlineStr">
        <is>
          <t>星巴克</t>
        </is>
      </c>
      <c r="P1" s="8" t="inlineStr">
        <is>
          <t>星巴克</t>
        </is>
      </c>
      <c r="Q1" s="8" t="inlineStr">
        <is>
          <t>星巴克</t>
        </is>
      </c>
      <c r="R1" s="8" t="inlineStr">
        <is>
          <t>库迪咖啡</t>
        </is>
      </c>
      <c r="S1" s="8" t="inlineStr">
        <is>
          <t>肯德基</t>
        </is>
      </c>
      <c r="T1" s="8" t="inlineStr">
        <is>
          <t>麦当劳</t>
        </is>
      </c>
      <c r="U1" s="8" t="inlineStr">
        <is>
          <t>海底捞</t>
        </is>
      </c>
      <c r="V1" s="8" t="inlineStr">
        <is>
          <t>茶百道</t>
        </is>
      </c>
      <c r="W1" s="8" t="inlineStr">
        <is>
          <t>霸王茶姬</t>
        </is>
      </c>
      <c r="X1" s="8" t="inlineStr">
        <is>
          <t>阿里通义千问</t>
        </is>
      </c>
      <c r="Y1" s="8" t="inlineStr">
        <is>
          <t>蜜雪冰城</t>
        </is>
      </c>
    </row>
    <row r="2">
      <c r="A2" s="4" t="inlineStr">
        <is>
          <t>瑞幸咖啡</t>
        </is>
      </c>
      <c r="B2" s="5" t="inlineStr">
        <is>
          <t>MCP/CLI/Skill</t>
        </is>
      </c>
      <c r="C2" s="5" t="inlineStr">
        <is>
          <t>AI点单</t>
        </is>
      </c>
      <c r="D2" s="5" t="n">
        <v>8</v>
      </c>
      <c r="E2" s="5" t="n">
        <v>7</v>
      </c>
      <c r="F2" s="5" t="n">
        <v>9</v>
      </c>
      <c r="G2" s="5" t="n">
        <v>6</v>
      </c>
      <c r="H2" s="5" t="n">
        <v>7</v>
      </c>
      <c r="J2" t="inlineStr">
        <is>
          <t>AI深度</t>
        </is>
      </c>
      <c r="K2" t="n">
        <v>8</v>
      </c>
      <c r="L2" t="n">
        <v>6</v>
      </c>
      <c r="M2" t="n">
        <v>7</v>
      </c>
      <c r="N2" t="n">
        <v>5</v>
      </c>
      <c r="O2" t="n">
        <v>4</v>
      </c>
      <c r="P2" t="n">
        <v>8</v>
      </c>
      <c r="Q2" t="n">
        <v>5</v>
      </c>
      <c r="R2" t="n">
        <v>7</v>
      </c>
      <c r="S2" t="n">
        <v>7</v>
      </c>
      <c r="T2" t="n">
        <v>5</v>
      </c>
      <c r="U2" t="n">
        <v>7</v>
      </c>
      <c r="V2" t="n">
        <v>6</v>
      </c>
      <c r="W2" t="n">
        <v>6</v>
      </c>
      <c r="X2" t="n">
        <v>8</v>
      </c>
      <c r="Y2" t="n">
        <v>6</v>
      </c>
    </row>
    <row r="3">
      <c r="A3" s="4" t="inlineStr">
        <is>
          <t>喜茶</t>
        </is>
      </c>
      <c r="B3" s="5" t="inlineStr">
        <is>
          <t>全套智能茶饮设备</t>
        </is>
      </c>
      <c r="C3" s="5" t="inlineStr">
        <is>
          <t>门店自动化</t>
        </is>
      </c>
      <c r="D3" s="5" t="n">
        <v>6</v>
      </c>
      <c r="E3" s="5" t="n">
        <v>8</v>
      </c>
      <c r="F3" s="5" t="n">
        <v>8</v>
      </c>
      <c r="G3" s="5" t="n">
        <v>9</v>
      </c>
      <c r="H3" s="5" t="n">
        <v>8</v>
      </c>
      <c r="J3" t="inlineStr">
        <is>
          <t>用户体验</t>
        </is>
      </c>
      <c r="K3" t="n">
        <v>7</v>
      </c>
      <c r="L3" t="n">
        <v>8</v>
      </c>
      <c r="M3" t="n">
        <v>7</v>
      </c>
      <c r="N3" t="n">
        <v>5</v>
      </c>
      <c r="O3" t="n">
        <v>7</v>
      </c>
      <c r="P3" t="n">
        <v>9</v>
      </c>
      <c r="Q3" t="n">
        <v>2</v>
      </c>
      <c r="R3" t="n">
        <v>6</v>
      </c>
      <c r="S3" t="n">
        <v>7</v>
      </c>
      <c r="T3" t="n">
        <v>7</v>
      </c>
      <c r="U3" t="n">
        <v>7</v>
      </c>
      <c r="V3" t="n">
        <v>7</v>
      </c>
      <c r="W3" t="n">
        <v>9</v>
      </c>
      <c r="X3" t="n">
        <v>8</v>
      </c>
      <c r="Y3" t="n">
        <v>3</v>
      </c>
    </row>
    <row r="4">
      <c r="A4" s="4" t="inlineStr">
        <is>
          <t>奈雪的茶</t>
        </is>
      </c>
      <c r="B4" s="5" t="inlineStr">
        <is>
          <t>AI溯源预警系统 + 智能茶饮机</t>
        </is>
      </c>
      <c r="C4" s="5" t="inlineStr">
        <is>
          <t>食品安全AI</t>
        </is>
      </c>
      <c r="D4" s="5" t="n">
        <v>7</v>
      </c>
      <c r="E4" s="5" t="n">
        <v>7</v>
      </c>
      <c r="F4" s="5" t="n">
        <v>7</v>
      </c>
      <c r="G4" s="5" t="n">
        <v>7</v>
      </c>
      <c r="H4" s="5" t="n">
        <v>6</v>
      </c>
      <c r="J4" t="inlineStr">
        <is>
          <t>部署规模</t>
        </is>
      </c>
      <c r="K4" t="n">
        <v>9</v>
      </c>
      <c r="L4" t="n">
        <v>8</v>
      </c>
      <c r="M4" t="n">
        <v>7</v>
      </c>
      <c r="N4" t="n">
        <v>10</v>
      </c>
      <c r="O4" t="n">
        <v>7</v>
      </c>
      <c r="P4" t="n">
        <v>10</v>
      </c>
      <c r="Q4" t="n">
        <v>1</v>
      </c>
      <c r="R4" t="n">
        <v>9</v>
      </c>
      <c r="S4" t="n">
        <v>8</v>
      </c>
      <c r="T4" t="n">
        <v>8</v>
      </c>
      <c r="U4" t="n">
        <v>9</v>
      </c>
      <c r="V4" t="n">
        <v>9</v>
      </c>
      <c r="W4" t="n">
        <v>9</v>
      </c>
      <c r="X4" t="n">
        <v>10</v>
      </c>
      <c r="Y4" t="n">
        <v>8</v>
      </c>
    </row>
    <row r="5">
      <c r="A5" s="4" t="inlineStr">
        <is>
          <t>蜜雪冰城</t>
        </is>
      </c>
      <c r="B5" s="5" t="inlineStr">
        <is>
          <t>雪王爱智慧科技</t>
        </is>
      </c>
      <c r="C5" s="5" t="inlineStr">
        <is>
          <t>AI底层技术</t>
        </is>
      </c>
      <c r="D5" s="5" t="n">
        <v>5</v>
      </c>
      <c r="E5" s="5" t="n">
        <v>5</v>
      </c>
      <c r="F5" s="5" t="n">
        <v>10</v>
      </c>
      <c r="G5" s="5" t="n">
        <v>5</v>
      </c>
      <c r="H5" s="5" t="n">
        <v>6</v>
      </c>
      <c r="J5" t="inlineStr">
        <is>
          <t>技术壁垒</t>
        </is>
      </c>
      <c r="K5" t="n">
        <v>6</v>
      </c>
      <c r="L5" t="n">
        <v>9</v>
      </c>
      <c r="M5" t="n">
        <v>7</v>
      </c>
      <c r="N5" t="n">
        <v>5</v>
      </c>
      <c r="O5" t="n">
        <v>3</v>
      </c>
      <c r="P5" t="n">
        <v>7</v>
      </c>
      <c r="Q5" t="n">
        <v>5</v>
      </c>
      <c r="R5" t="n">
        <v>6</v>
      </c>
      <c r="S5" t="n">
        <v>6</v>
      </c>
      <c r="T5" t="n">
        <v>4</v>
      </c>
      <c r="U5" t="n">
        <v>7</v>
      </c>
      <c r="V5" t="n">
        <v>5</v>
      </c>
      <c r="W5" t="n">
        <v>6</v>
      </c>
      <c r="X5" t="n">
        <v>7</v>
      </c>
      <c r="Y5" t="n">
        <v>6</v>
      </c>
    </row>
    <row r="6">
      <c r="A6" s="4" t="inlineStr">
        <is>
          <t>星巴克</t>
        </is>
      </c>
      <c r="B6" s="5" t="inlineStr">
        <is>
          <t>Green Dot Assist（绿点助手）</t>
        </is>
      </c>
      <c r="C6" s="5" t="inlineStr">
        <is>
          <t>员工辅助AI</t>
        </is>
      </c>
      <c r="D6" s="5" t="n">
        <v>4</v>
      </c>
      <c r="E6" s="5" t="n">
        <v>7</v>
      </c>
      <c r="F6" s="5" t="n">
        <v>7</v>
      </c>
      <c r="G6" s="5" t="n">
        <v>3</v>
      </c>
      <c r="H6" s="5" t="n">
        <v>5</v>
      </c>
      <c r="J6" t="inlineStr">
        <is>
          <t>商业化</t>
        </is>
      </c>
      <c r="K6" t="n">
        <v>7</v>
      </c>
      <c r="L6" t="n">
        <v>8</v>
      </c>
      <c r="M6" t="n">
        <v>6</v>
      </c>
      <c r="N6" t="n">
        <v>6</v>
      </c>
      <c r="O6" t="n">
        <v>5</v>
      </c>
      <c r="P6" t="n">
        <v>9</v>
      </c>
      <c r="Q6" t="n">
        <v>0</v>
      </c>
      <c r="R6" t="n">
        <v>7</v>
      </c>
      <c r="S6" t="n">
        <v>7</v>
      </c>
      <c r="T6" t="n">
        <v>6</v>
      </c>
      <c r="U6" t="n">
        <v>8</v>
      </c>
      <c r="V6" t="n">
        <v>7</v>
      </c>
      <c r="W6" t="n">
        <v>9</v>
      </c>
      <c r="X6" t="n">
        <v>7</v>
      </c>
      <c r="Y6" t="n">
        <v>4</v>
      </c>
    </row>
    <row r="7">
      <c r="A7" s="4" t="inlineStr">
        <is>
          <t>星巴克</t>
        </is>
      </c>
      <c r="B7" s="5" t="inlineStr">
        <is>
          <t>Deep Brew AI 平台</t>
        </is>
      </c>
      <c r="C7" s="5" t="inlineStr">
        <is>
          <t>个性化推荐</t>
        </is>
      </c>
      <c r="D7" s="5" t="n">
        <v>8</v>
      </c>
      <c r="E7" s="5" t="n">
        <v>9</v>
      </c>
      <c r="F7" s="5" t="n">
        <v>10</v>
      </c>
      <c r="G7" s="5" t="n">
        <v>7</v>
      </c>
      <c r="H7" s="5" t="n">
        <v>9</v>
      </c>
    </row>
    <row r="8">
      <c r="A8" s="4" t="inlineStr">
        <is>
          <t>星巴克</t>
        </is>
      </c>
      <c r="B8" s="5" t="inlineStr">
        <is>
          <t>AI库存管理工具（已停用）</t>
        </is>
      </c>
      <c r="C8" s="5" t="inlineStr">
        <is>
          <t>需求预测AI（失败案例）</t>
        </is>
      </c>
      <c r="D8" s="5" t="n">
        <v>5</v>
      </c>
      <c r="E8" s="5" t="n">
        <v>2</v>
      </c>
      <c r="F8" s="5" t="n">
        <v>1</v>
      </c>
      <c r="G8" s="5" t="n">
        <v>5</v>
      </c>
      <c r="H8" s="5" t="n">
        <v>0</v>
      </c>
    </row>
    <row r="9">
      <c r="A9" s="4" t="inlineStr">
        <is>
          <t>库迪咖啡</t>
        </is>
      </c>
      <c r="B9" s="5" t="inlineStr">
        <is>
          <t>智慧运营体系</t>
        </is>
      </c>
      <c r="C9" s="5" t="inlineStr">
        <is>
          <t>智慧运营</t>
        </is>
      </c>
      <c r="D9" s="5" t="n">
        <v>7</v>
      </c>
      <c r="E9" s="5" t="n">
        <v>6</v>
      </c>
      <c r="F9" s="5" t="n">
        <v>9</v>
      </c>
      <c r="G9" s="5" t="n">
        <v>6</v>
      </c>
      <c r="H9" s="5" t="n">
        <v>7</v>
      </c>
    </row>
    <row r="10">
      <c r="A10" s="4" t="inlineStr">
        <is>
          <t>肯德基</t>
        </is>
      </c>
      <c r="B10" s="5" t="inlineStr">
        <is>
          <t>AI点餐助手'小K'</t>
        </is>
      </c>
      <c r="C10" s="5" t="inlineStr">
        <is>
          <t>AI语音点餐</t>
        </is>
      </c>
      <c r="D10" s="5" t="n">
        <v>7</v>
      </c>
      <c r="E10" s="5" t="n">
        <v>7</v>
      </c>
      <c r="F10" s="5" t="n">
        <v>8</v>
      </c>
      <c r="G10" s="5" t="n">
        <v>6</v>
      </c>
      <c r="H10" s="5" t="n">
        <v>7</v>
      </c>
    </row>
    <row r="11">
      <c r="A11" s="4" t="inlineStr">
        <is>
          <t>麦当劳</t>
        </is>
      </c>
      <c r="B11" s="5" t="inlineStr">
        <is>
          <t>RGM BOSS + 汉堡大学AI智能陪练</t>
        </is>
      </c>
      <c r="C11" s="5" t="inlineStr">
        <is>
          <t>员工数字化</t>
        </is>
      </c>
      <c r="D11" s="5" t="n">
        <v>5</v>
      </c>
      <c r="E11" s="5" t="n">
        <v>7</v>
      </c>
      <c r="F11" s="5" t="n">
        <v>8</v>
      </c>
      <c r="G11" s="5" t="n">
        <v>4</v>
      </c>
      <c r="H11" s="5" t="n">
        <v>6</v>
      </c>
    </row>
    <row r="12">
      <c r="A12" s="4" t="inlineStr">
        <is>
          <t>海底捞</t>
        </is>
      </c>
      <c r="B12" s="5" t="inlineStr">
        <is>
          <t>AI智慧巡检系统 + 智能体机器人</t>
        </is>
      </c>
      <c r="C12" s="5" t="inlineStr">
        <is>
          <t>AI巡检</t>
        </is>
      </c>
      <c r="D12" s="5" t="n">
        <v>7</v>
      </c>
      <c r="E12" s="5" t="n">
        <v>7</v>
      </c>
      <c r="F12" s="5" t="n">
        <v>9</v>
      </c>
      <c r="G12" s="5" t="n">
        <v>7</v>
      </c>
      <c r="H12" s="5" t="n">
        <v>8</v>
      </c>
    </row>
    <row r="13">
      <c r="A13" s="4" t="inlineStr">
        <is>
          <t>茶百道</t>
        </is>
      </c>
      <c r="B13" s="5" t="inlineStr">
        <is>
          <t>智能管理体系</t>
        </is>
      </c>
      <c r="C13" s="5" t="inlineStr">
        <is>
          <t>AI巡检+品控</t>
        </is>
      </c>
      <c r="D13" s="5" t="n">
        <v>6</v>
      </c>
      <c r="E13" s="5" t="n">
        <v>7</v>
      </c>
      <c r="F13" s="5" t="n">
        <v>9</v>
      </c>
      <c r="G13" s="5" t="n">
        <v>5</v>
      </c>
      <c r="H13" s="5" t="n">
        <v>7</v>
      </c>
    </row>
    <row r="14">
      <c r="A14" s="4" t="inlineStr">
        <is>
          <t>霸王茶姬</t>
        </is>
      </c>
      <c r="B14" s="5" t="inlineStr">
        <is>
          <t>智能调饮系统 + '茶茶圈'AI知识管理</t>
        </is>
      </c>
      <c r="C14" s="5" t="inlineStr">
        <is>
          <t>智能标准化</t>
        </is>
      </c>
      <c r="D14" s="5" t="n">
        <v>6</v>
      </c>
      <c r="E14" s="5" t="n">
        <v>9</v>
      </c>
      <c r="F14" s="5" t="n">
        <v>9</v>
      </c>
      <c r="G14" s="5" t="n">
        <v>6</v>
      </c>
      <c r="H14" s="5" t="n">
        <v>9</v>
      </c>
    </row>
    <row r="15">
      <c r="A15" s="4" t="inlineStr">
        <is>
          <t>阿里通义千问</t>
        </is>
      </c>
      <c r="B15" s="5" t="inlineStr">
        <is>
          <t>千问App'一句话点奶茶'</t>
        </is>
      </c>
      <c r="C15" s="5" t="inlineStr">
        <is>
          <t>AI Agent消费入口</t>
        </is>
      </c>
      <c r="D15" s="5" t="n">
        <v>8</v>
      </c>
      <c r="E15" s="5" t="n">
        <v>8</v>
      </c>
      <c r="F15" s="5" t="n">
        <v>10</v>
      </c>
      <c r="G15" s="5" t="n">
        <v>7</v>
      </c>
      <c r="H15" s="5" t="n">
        <v>7</v>
      </c>
    </row>
    <row r="16">
      <c r="A16" s="4" t="inlineStr">
        <is>
          <t>蜜雪冰城</t>
        </is>
      </c>
      <c r="B16" s="5" t="inlineStr">
        <is>
          <t>雪王爱智慧 - AI公共数据平台</t>
        </is>
      </c>
      <c r="C16" s="5" t="inlineStr">
        <is>
          <t>AI数据平台</t>
        </is>
      </c>
      <c r="D16" s="5" t="n">
        <v>6</v>
      </c>
      <c r="E16" s="5" t="n">
        <v>3</v>
      </c>
      <c r="F16" s="5" t="n">
        <v>8</v>
      </c>
      <c r="G16" s="5" t="n">
        <v>6</v>
      </c>
      <c r="H16" s="5" t="n">
        <v>4</v>
      </c>
    </row>
    <row r="17">
      <c r="A17" s="4" t="inlineStr">
        <is>
          <t>科创板AI大模型企业</t>
        </is>
      </c>
      <c r="B17" s="5" t="inlineStr">
        <is>
          <t>A股IPO通道</t>
        </is>
      </c>
      <c r="C17" s="5" t="inlineStr">
        <is>
          <t>资本市场AI</t>
        </is>
      </c>
      <c r="D17" s="5" t="n">
        <v>7</v>
      </c>
      <c r="E17" s="5" t="n">
        <v>5</v>
      </c>
      <c r="F17" s="5" t="n">
        <v>8</v>
      </c>
      <c r="G17" s="5" t="n">
        <v>6</v>
      </c>
      <c r="H17" s="5" t="n">
        <v>9</v>
      </c>
    </row>
    <row r="18">
      <c r="A18" s="4" t="inlineStr">
        <is>
          <t>瑞幸咖啡</t>
        </is>
      </c>
      <c r="B18" s="5" t="inlineStr">
        <is>
          <t>Lucky AI智能体</t>
        </is>
      </c>
      <c r="C18" s="5" t="inlineStr">
        <is>
          <t>鸿蒙原生AI点单</t>
        </is>
      </c>
      <c r="D18" s="5" t="n">
        <v>8</v>
      </c>
      <c r="E18" s="5" t="n">
        <v>8</v>
      </c>
      <c r="F18" s="5" t="n">
        <v>9</v>
      </c>
      <c r="G18" s="5" t="n">
        <v>6</v>
      </c>
      <c r="H18" s="5" t="n">
        <v>8</v>
      </c>
    </row>
    <row r="19">
      <c r="A19" s="4" t="inlineStr">
        <is>
          <t>美团</t>
        </is>
      </c>
      <c r="B19" s="5" t="inlineStr">
        <is>
          <t>LongCat-Next 原生多模态大模型</t>
        </is>
      </c>
      <c r="C19" s="5" t="inlineStr">
        <is>
          <t>AI基础设施</t>
        </is>
      </c>
      <c r="D19" s="5" t="n">
        <v>8</v>
      </c>
      <c r="E19" s="5" t="n">
        <v>6</v>
      </c>
      <c r="F19" s="5" t="n">
        <v>7</v>
      </c>
      <c r="G19" s="5" t="n">
        <v>7</v>
      </c>
      <c r="H19" s="5" t="n">
        <v>5</v>
      </c>
    </row>
    <row r="20">
      <c r="A20" s="4" t="inlineStr">
        <is>
          <t>霸王茶姬</t>
        </is>
      </c>
      <c r="B20" s="5" t="inlineStr">
        <is>
          <t>增长停滞与AI战略反思</t>
        </is>
      </c>
      <c r="C20" s="5" t="inlineStr">
        <is>
          <t>智能标准化调整</t>
        </is>
      </c>
      <c r="D20" s="5" t="n">
        <v>6</v>
      </c>
      <c r="E20" s="5" t="n">
        <v>8</v>
      </c>
      <c r="F20" s="5" t="n">
        <v>9</v>
      </c>
      <c r="G20" s="5" t="n">
        <v>6</v>
      </c>
      <c r="H20" s="5" t="n">
        <v>8</v>
      </c>
    </row>
    <row r="21">
      <c r="A21" s="4" t="inlineStr">
        <is>
          <t>霸王茶姬</t>
        </is>
      </c>
      <c r="B21" s="5" t="inlineStr">
        <is>
          <t>北美首店开业+冰淇淋品类扩展</t>
        </is>
      </c>
      <c r="C21" s="5" t="inlineStr">
        <is>
          <t>全球化+品类扩张</t>
        </is>
      </c>
      <c r="D21" s="5" t="n">
        <v>6</v>
      </c>
      <c r="E21" s="5" t="n">
        <v>8</v>
      </c>
      <c r="F21" s="5" t="n">
        <v>9</v>
      </c>
      <c r="G21" s="5" t="n">
        <v>6</v>
      </c>
      <c r="H21" s="5" t="n">
        <v>8</v>
      </c>
    </row>
    <row r="22">
      <c r="A22" s="4" t="inlineStr">
        <is>
          <t>蜜雪冰城</t>
        </is>
      </c>
      <c r="B22" s="5" t="inlineStr">
        <is>
          <t>冰淇淋赛道正面竞争霸王茶姬</t>
        </is>
      </c>
      <c r="C22" s="5" t="inlineStr">
        <is>
          <t>品类竞争</t>
        </is>
      </c>
      <c r="D22" s="5" t="n">
        <v>5</v>
      </c>
      <c r="E22" s="5" t="n">
        <v>6</v>
      </c>
      <c r="F22" s="5" t="n">
        <v>10</v>
      </c>
      <c r="G22" s="5" t="n">
        <v>5</v>
      </c>
      <c r="H22" s="5" t="n">
        <v>7</v>
      </c>
    </row>
    <row r="23">
      <c r="A23" s="4" t="inlineStr">
        <is>
          <t>美团</t>
        </is>
      </c>
      <c r="B23" s="5" t="inlineStr">
        <is>
          <t>LongCat-Flash-Thinking-2601</t>
        </is>
      </c>
      <c r="C23" s="5" t="inlineStr">
        <is>
          <t>AI大模型/智能体工具调用</t>
        </is>
      </c>
      <c r="D23" s="5" t="n">
        <v>9</v>
      </c>
      <c r="E23" s="5" t="n">
        <v>7</v>
      </c>
      <c r="F23" s="5" t="n">
        <v>7</v>
      </c>
      <c r="G23" s="5" t="n">
        <v>8</v>
      </c>
      <c r="H23" s="5" t="n">
        <v>7</v>
      </c>
    </row>
    <row r="24">
      <c r="A24" s="4" t="inlineStr">
        <is>
          <t>瑞幸咖啡</t>
        </is>
      </c>
      <c r="B24" s="5" t="inlineStr">
        <is>
          <t>Lucky AI智能体 / AI开放平台</t>
        </is>
      </c>
      <c r="C24" s="5" t="inlineStr">
        <is>
          <t>智能点单/跨平台Agent</t>
        </is>
      </c>
      <c r="D24" s="5" t="n">
        <v>7</v>
      </c>
      <c r="E24" s="5" t="n">
        <v>8</v>
      </c>
      <c r="F24" s="5" t="n">
        <v>8</v>
      </c>
      <c r="G24" s="5" t="n">
        <v>6</v>
      </c>
      <c r="H24" s="5" t="n">
        <v>8</v>
      </c>
    </row>
    <row r="25">
      <c r="A25" s="4" t="inlineStr">
        <is>
          <t>蜜雪冰城</t>
        </is>
      </c>
      <c r="B25" s="5" t="inlineStr">
        <is>
          <t>雪王爱智慧科技</t>
        </is>
      </c>
      <c r="C25" s="5" t="inlineStr">
        <is>
          <t>供应链AI/智慧运营</t>
        </is>
      </c>
      <c r="D25" s="5" t="n">
        <v>6</v>
      </c>
      <c r="E25" s="5" t="n">
        <v>6</v>
      </c>
      <c r="F25" s="5" t="n">
        <v>10</v>
      </c>
      <c r="G25" s="5" t="n">
        <v>5</v>
      </c>
      <c r="H25" s="5" t="n">
        <v>8</v>
      </c>
    </row>
    <row r="26">
      <c r="A26" s="4" t="inlineStr">
        <is>
          <t>星巴克</t>
        </is>
      </c>
      <c r="B26" s="5" t="inlineStr">
        <is>
          <t>Deep Brew / Green Dot Assist</t>
        </is>
      </c>
      <c r="C26" s="5" t="inlineStr">
        <is>
          <t>门店运营AI/个性化推荐</t>
        </is>
      </c>
      <c r="D26" s="5" t="n">
        <v>8</v>
      </c>
      <c r="E26" s="5" t="n">
        <v>8</v>
      </c>
      <c r="F26" s="5" t="n">
        <v>10</v>
      </c>
      <c r="G26" s="5" t="n">
        <v>7</v>
      </c>
      <c r="H26" s="5" t="n">
        <v>8</v>
      </c>
    </row>
    <row r="27">
      <c r="A27" s="4" t="inlineStr">
        <is>
          <t>库迪咖啡</t>
        </is>
      </c>
      <c r="B27" s="5" t="inlineStr">
        <is>
          <t>AI全链路运营体系</t>
        </is>
      </c>
      <c r="C27" s="5" t="inlineStr">
        <is>
          <t>智慧运营/供应链优化</t>
        </is>
      </c>
      <c r="D27" s="5" t="n">
        <v>6</v>
      </c>
      <c r="E27" s="5" t="n">
        <v>6</v>
      </c>
      <c r="F27" s="5" t="n">
        <v>8</v>
      </c>
      <c r="G27" s="5" t="n">
        <v>5</v>
      </c>
      <c r="H27" s="5" t="n">
        <v>7</v>
      </c>
    </row>
    <row r="28">
      <c r="A28" s="4" t="inlineStr">
        <is>
          <t>美团</t>
        </is>
      </c>
      <c r="B28" s="5" t="inlineStr">
        <is>
          <t>小团/小美AI Agent、智能掌柜、Tabbit</t>
        </is>
      </c>
      <c r="C28" s="5" t="inlineStr">
        <is>
          <t>AI Agent / 生态战略</t>
        </is>
      </c>
      <c r="D28" s="5" t="n">
        <v>8</v>
      </c>
      <c r="E28" s="5" t="n">
        <v>7</v>
      </c>
      <c r="F28" s="5" t="n">
        <v>9</v>
      </c>
      <c r="G28" s="5" t="n">
        <v>7</v>
      </c>
      <c r="H28" s="5" t="n">
        <v>7</v>
      </c>
    </row>
    <row r="29">
      <c r="A29" s="4" t="inlineStr">
        <is>
          <t>星巴克</t>
        </is>
      </c>
      <c r="B29" s="5" t="inlineStr">
        <is>
          <t>AI助理、中国创新科技中心、电子菜单板、AI库存系统</t>
        </is>
      </c>
      <c r="C29" s="5" t="inlineStr">
        <is>
          <t>门店体验 / 战略合作 / 供应链运营</t>
        </is>
      </c>
      <c r="D29" s="5" t="n">
        <v>7</v>
      </c>
      <c r="E29" s="5" t="n">
        <v>8</v>
      </c>
      <c r="F29" s="5" t="n">
        <v>10</v>
      </c>
      <c r="G29" s="5" t="n">
        <v>6</v>
      </c>
      <c r="H29" s="5" t="n">
        <v>7</v>
      </c>
    </row>
    <row r="30">
      <c r="A30" s="4" t="inlineStr">
        <is>
          <t>阿里通义千问</t>
        </is>
      </c>
      <c r="B30" s="5" t="inlineStr">
        <is>
          <t>千问云、Qwen3.7-Max、Qwen3.7-Plus</t>
        </is>
      </c>
      <c r="C30" s="5" t="inlineStr">
        <is>
          <t>大模型 / 云服务</t>
        </is>
      </c>
      <c r="D30" s="5" t="n">
        <v>8</v>
      </c>
      <c r="E30" s="5" t="n">
        <v>7</v>
      </c>
      <c r="F30" s="5" t="n">
        <v>8</v>
      </c>
      <c r="G30" s="5" t="n">
        <v>7</v>
      </c>
      <c r="H30" s="5" t="n">
        <v>7</v>
      </c>
    </row>
    <row r="31">
      <c r="A31" s="4" t="inlineStr">
        <is>
          <t>饿了么</t>
        </is>
      </c>
      <c r="B31" s="5" t="inlineStr">
        <is>
          <t>AutoGLM（智谱AI Agent）演示</t>
        </is>
      </c>
      <c r="C31" s="5" t="inlineStr">
        <is>
          <t>AI Agent / 移动交互</t>
        </is>
      </c>
      <c r="D31" s="5" t="n">
        <v>7</v>
      </c>
      <c r="E31" s="5" t="n">
        <v>6</v>
      </c>
      <c r="F31" s="5" t="n">
        <v>5</v>
      </c>
      <c r="G31" s="5" t="n">
        <v>6</v>
      </c>
      <c r="H31" s="5" t="n">
        <v>4</v>
      </c>
    </row>
    <row r="32">
      <c r="A32" s="4" t="inlineStr">
        <is>
          <t>霸王茶姬</t>
        </is>
      </c>
      <c r="B32" s="5" t="inlineStr">
        <is>
          <t>线上点单系统、AI补贴平台</t>
        </is>
      </c>
      <c r="C32" s="5" t="inlineStr">
        <is>
          <t>运营 / 增长</t>
        </is>
      </c>
      <c r="D32" s="5" t="n">
        <v>6</v>
      </c>
      <c r="E32" s="5" t="n">
        <v>8</v>
      </c>
      <c r="F32" s="5" t="n">
        <v>9</v>
      </c>
      <c r="G32" s="5" t="n">
        <v>5</v>
      </c>
      <c r="H32" s="5" t="n">
        <v>8</v>
      </c>
    </row>
    <row r="33">
      <c r="A33" s="4" t="inlineStr">
        <is>
          <t>消费品牌AI日报</t>
        </is>
      </c>
      <c r="B33" s="5" t="inlineStr">
        <is>
          <t>2026-06-27 综合动态</t>
        </is>
      </c>
      <c r="C33" s="5" t="inlineStr">
        <is>
          <t>综合动态</t>
        </is>
      </c>
      <c r="D33" s="5" t="n">
        <v>7</v>
      </c>
      <c r="E33" s="5" t="n">
        <v>7</v>
      </c>
      <c r="F33" s="5" t="n">
        <v>9</v>
      </c>
      <c r="G33" s="5" t="n">
        <v>6</v>
      </c>
      <c r="H33" s="5" t="n">
        <v>7</v>
      </c>
    </row>
    <row r="34">
      <c r="A34" s="4" t="inlineStr">
        <is>
          <t>星巴克</t>
        </is>
      </c>
      <c r="B34" s="5" t="inlineStr">
        <is>
          <t>美团外卖合作 + 1971 客厅</t>
        </is>
      </c>
      <c r="C34" s="5" t="inlineStr">
        <is>
          <t>咖啡 / 外卖</t>
        </is>
      </c>
      <c r="D34" s="5" t="n">
        <v>5</v>
      </c>
      <c r="E34" s="5" t="n">
        <v>8</v>
      </c>
      <c r="F34" s="5" t="n">
        <v>9</v>
      </c>
      <c r="G34" s="5" t="n">
        <v>5</v>
      </c>
      <c r="H34" s="5" t="n">
        <v>7</v>
      </c>
    </row>
    <row r="35">
      <c r="A35" s="4" t="inlineStr">
        <is>
          <t>美团</t>
        </is>
      </c>
      <c r="B35" s="5" t="inlineStr">
        <is>
          <t>LongCat 大模型 + 战略修复模式</t>
        </is>
      </c>
      <c r="C35" s="5" t="inlineStr">
        <is>
          <t>本地生活 / AI 平台</t>
        </is>
      </c>
      <c r="D35" s="5" t="n">
        <v>7</v>
      </c>
      <c r="E35" s="5" t="n">
        <v>7</v>
      </c>
      <c r="F35" s="5" t="n">
        <v>10</v>
      </c>
      <c r="G35" s="5" t="n">
        <v>7</v>
      </c>
      <c r="H35" s="5" t="n">
        <v>8</v>
      </c>
    </row>
    <row r="36">
      <c r="A36" s="4" t="inlineStr">
        <is>
          <t>喜茶</t>
        </is>
      </c>
      <c r="B36" s="5" t="inlineStr">
        <is>
          <t>智能出茶机 / ChatBI</t>
        </is>
      </c>
      <c r="C36" s="5" t="inlineStr">
        <is>
          <t>新茶饮 / 智能设备</t>
        </is>
      </c>
      <c r="D36" s="5" t="n">
        <v>7</v>
      </c>
      <c r="E36" s="5" t="n">
        <v>7</v>
      </c>
      <c r="F36" s="5" t="n">
        <v>8</v>
      </c>
      <c r="G36" s="5" t="n">
        <v>6</v>
      </c>
      <c r="H36" s="5" t="n">
        <v>7</v>
      </c>
    </row>
    <row r="37">
      <c r="A37" s="4" t="inlineStr">
        <is>
          <t>蜜雪冰城</t>
        </is>
      </c>
      <c r="B37" s="5" t="inlineStr">
        <is>
          <t>雪王爱智慧 AI 公司</t>
        </is>
      </c>
      <c r="C37" s="5" t="inlineStr">
        <is>
          <t>新茶饮 / AI 算法</t>
        </is>
      </c>
      <c r="D37" s="5" t="n">
        <v>6</v>
      </c>
      <c r="E37" s="5" t="n">
        <v>6</v>
      </c>
      <c r="F37" s="5" t="n">
        <v>10</v>
      </c>
      <c r="G37" s="5" t="n">
        <v>5</v>
      </c>
      <c r="H37" s="5" t="n">
        <v>7</v>
      </c>
    </row>
    <row r="38">
      <c r="A38" s="4" t="inlineStr">
        <is>
          <t>霸王茶姬</t>
        </is>
      </c>
      <c r="B38" s="5" t="inlineStr">
        <is>
          <t>北美扩张 + 智能调饮</t>
        </is>
      </c>
      <c r="C38" s="5" t="inlineStr">
        <is>
          <t>新茶饮 / 出海</t>
        </is>
      </c>
      <c r="D38" s="5" t="n">
        <v>6</v>
      </c>
      <c r="E38" s="5" t="n">
        <v>8</v>
      </c>
      <c r="F38" s="5" t="n">
        <v>7</v>
      </c>
      <c r="G38" s="5" t="n">
        <v>6</v>
      </c>
      <c r="H38" s="5" t="n">
        <v>7</v>
      </c>
    </row>
    <row r="39">
      <c r="A39" s="8" t="inlineStr">
        <is>
          <t>平均分</t>
        </is>
      </c>
      <c r="D39" s="7">
        <f>AVERAGE(D2:D38)</f>
        <v/>
      </c>
      <c r="E39" s="7">
        <f>AVERAGE(E2:E38)</f>
        <v/>
      </c>
      <c r="F39" s="7">
        <f>AVERAGE(F2:F38)</f>
        <v/>
      </c>
      <c r="G39" s="7">
        <f>AVERAGE(G2:G38)</f>
        <v/>
      </c>
      <c r="H39" s="7">
        <f>AVERAGE(H2:H38)</f>
        <v/>
      </c>
    </row>
  </sheetData>
  <conditionalFormatting sqref="D2:D38">
    <cfRule type="colorScale" priority="1">
      <colorScale>
        <cfvo type="num" val="0"/>
        <cfvo type="num" val="5"/>
        <cfvo type="num" val="10"/>
        <color rgb="00F8696B"/>
        <color rgb="00FFEB84"/>
        <color rgb="0063BE7B"/>
      </colorScale>
    </cfRule>
  </conditionalFormatting>
  <conditionalFormatting sqref="E2:E38">
    <cfRule type="colorScale" priority="2">
      <colorScale>
        <cfvo type="num" val="0"/>
        <cfvo type="num" val="5"/>
        <cfvo type="num" val="10"/>
        <color rgb="00F8696B"/>
        <color rgb="00FFEB84"/>
        <color rgb="0063BE7B"/>
      </colorScale>
    </cfRule>
  </conditionalFormatting>
  <conditionalFormatting sqref="F2:F38">
    <cfRule type="colorScale" priority="3">
      <colorScale>
        <cfvo type="num" val="0"/>
        <cfvo type="num" val="5"/>
        <cfvo type="num" val="10"/>
        <color rgb="00F8696B"/>
        <color rgb="00FFEB84"/>
        <color rgb="0063BE7B"/>
      </colorScale>
    </cfRule>
  </conditionalFormatting>
  <conditionalFormatting sqref="G2:G38">
    <cfRule type="colorScale" priority="4">
      <colorScale>
        <cfvo type="num" val="0"/>
        <cfvo type="num" val="5"/>
        <cfvo type="num" val="10"/>
        <color rgb="00F8696B"/>
        <color rgb="00FFEB84"/>
        <color rgb="0063BE7B"/>
      </colorScale>
    </cfRule>
  </conditionalFormatting>
  <conditionalFormatting sqref="H2:H38">
    <cfRule type="colorScale" priority="5">
      <colorScale>
        <cfvo type="num" val="0"/>
        <cfvo type="num" val="5"/>
        <cfvo type="num" val="10"/>
        <color rgb="00F8696B"/>
        <color rgb="00FFEB84"/>
        <color rgb="0063BE7B"/>
      </colorScale>
    </cfRule>
  </conditionalFormatting>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R26"/>
  <sheetViews>
    <sheetView workbookViewId="0">
      <selection activeCell="A1" sqref="A1"/>
    </sheetView>
  </sheetViews>
  <sheetFormatPr baseColWidth="8" defaultRowHeight="15"/>
  <cols>
    <col width="14" customWidth="1" min="1" max="1"/>
    <col width="14" customWidth="1" min="2" max="2"/>
    <col width="10" customWidth="1" min="3" max="3"/>
    <col width="10" customWidth="1" min="4" max="4"/>
    <col width="12" customWidth="1" min="5" max="5"/>
    <col width="14" customWidth="1" min="6" max="6"/>
    <col width="12" customWidth="1" min="7" max="7"/>
    <col width="10" customWidth="1" min="8" max="8"/>
    <col width="12" customWidth="1" min="9" max="9"/>
    <col width="12" customWidth="1" min="10" max="10"/>
  </cols>
  <sheetData>
    <row r="1">
      <c r="A1" s="3" t="inlineStr">
        <is>
          <t>模型</t>
        </is>
      </c>
      <c r="B1" s="3" t="inlineStr">
        <is>
          <t>厂商</t>
        </is>
      </c>
      <c r="C1" s="3" t="inlineStr">
        <is>
          <t>推理</t>
        </is>
      </c>
      <c r="D1" s="3" t="inlineStr">
        <is>
          <t>编程</t>
        </is>
      </c>
      <c r="E1" s="3" t="inlineStr">
        <is>
          <t>多模态</t>
        </is>
      </c>
      <c r="F1" s="3" t="inlineStr">
        <is>
          <t>价格竞争力</t>
        </is>
      </c>
      <c r="G1" s="3" t="inlineStr">
        <is>
          <t>上下文</t>
        </is>
      </c>
      <c r="H1" s="3" t="inlineStr">
        <is>
          <t>生态</t>
        </is>
      </c>
      <c r="I1" s="3" t="inlineStr">
        <is>
          <t>输入价格</t>
        </is>
      </c>
      <c r="J1" s="3" t="inlineStr">
        <is>
          <t>输出价格</t>
        </is>
      </c>
      <c r="L1" t="inlineStr">
        <is>
          <t>维度</t>
        </is>
      </c>
      <c r="M1" s="8" t="inlineStr">
        <is>
          <t>GPT-5.5</t>
        </is>
      </c>
      <c r="N1" s="8" t="inlineStr">
        <is>
          <t>DeepSeek V4</t>
        </is>
      </c>
      <c r="O1" s="8" t="inlineStr">
        <is>
          <t>Claude 4 Opus</t>
        </is>
      </c>
      <c r="P1" s="8" t="inlineStr">
        <is>
          <t>Claude 4 Sonnet</t>
        </is>
      </c>
      <c r="Q1" s="8" t="inlineStr">
        <is>
          <t>Gemini 3.5 Flash</t>
        </is>
      </c>
      <c r="R1" s="8" t="inlineStr">
        <is>
          <t>Gemini 3 Deep Think</t>
        </is>
      </c>
    </row>
    <row r="2">
      <c r="A2" s="4" t="inlineStr">
        <is>
          <t>GPT-5.5</t>
        </is>
      </c>
      <c r="B2" s="5" t="inlineStr">
        <is>
          <t>OpenAI</t>
        </is>
      </c>
      <c r="C2" s="5" t="n">
        <v>9</v>
      </c>
      <c r="D2" s="5" t="n">
        <v>8</v>
      </c>
      <c r="E2" s="5" t="n">
        <v>9</v>
      </c>
      <c r="F2" s="5" t="n">
        <v>3</v>
      </c>
      <c r="G2" s="5" t="n">
        <v>7</v>
      </c>
      <c r="H2" s="5" t="n">
        <v>10</v>
      </c>
      <c r="I2" s="5" t="n">
        <v>15</v>
      </c>
      <c r="J2" s="5" t="n">
        <v>60</v>
      </c>
      <c r="L2" t="inlineStr">
        <is>
          <t>推理</t>
        </is>
      </c>
      <c r="M2" t="n">
        <v>9</v>
      </c>
      <c r="N2" t="n">
        <v>8</v>
      </c>
      <c r="O2" t="n">
        <v>9</v>
      </c>
      <c r="P2" t="n">
        <v>8</v>
      </c>
      <c r="Q2" t="n">
        <v>8</v>
      </c>
      <c r="R2" t="n">
        <v>10</v>
      </c>
    </row>
    <row r="3">
      <c r="A3" s="4" t="inlineStr">
        <is>
          <t>DeepSeek V4</t>
        </is>
      </c>
      <c r="B3" s="5" t="inlineStr">
        <is>
          <t>DeepSeek（幻方量化）</t>
        </is>
      </c>
      <c r="C3" s="5" t="n">
        <v>8</v>
      </c>
      <c r="D3" s="5" t="n">
        <v>8</v>
      </c>
      <c r="E3" s="5" t="n">
        <v>6</v>
      </c>
      <c r="F3" s="5" t="n">
        <v>10</v>
      </c>
      <c r="G3" s="5" t="n">
        <v>7</v>
      </c>
      <c r="H3" s="5" t="n">
        <v>7</v>
      </c>
      <c r="I3" s="5" t="n">
        <v>2</v>
      </c>
      <c r="J3" s="5" t="n">
        <v>8</v>
      </c>
      <c r="L3" t="inlineStr">
        <is>
          <t>编程</t>
        </is>
      </c>
      <c r="M3" t="n">
        <v>8</v>
      </c>
      <c r="N3" t="n">
        <v>8</v>
      </c>
      <c r="O3" t="n">
        <v>10</v>
      </c>
      <c r="P3" t="n">
        <v>9</v>
      </c>
      <c r="Q3" t="n">
        <v>7</v>
      </c>
      <c r="R3" t="n">
        <v>7</v>
      </c>
    </row>
    <row r="4">
      <c r="A4" s="4" t="inlineStr">
        <is>
          <t>Claude 4 Opus</t>
        </is>
      </c>
      <c r="B4" s="5" t="inlineStr">
        <is>
          <t>Anthropic</t>
        </is>
      </c>
      <c r="C4" s="5" t="n">
        <v>9</v>
      </c>
      <c r="D4" s="5" t="n">
        <v>10</v>
      </c>
      <c r="E4" s="5" t="n">
        <v>8</v>
      </c>
      <c r="F4" s="5" t="n">
        <v>4</v>
      </c>
      <c r="G4" s="5" t="n">
        <v>8</v>
      </c>
      <c r="H4" s="5" t="n">
        <v>8</v>
      </c>
      <c r="I4" s="5" t="n">
        <v>15</v>
      </c>
      <c r="J4" s="5" t="n">
        <v>75</v>
      </c>
      <c r="L4" t="inlineStr">
        <is>
          <t>多模态</t>
        </is>
      </c>
      <c r="M4" t="n">
        <v>9</v>
      </c>
      <c r="N4" t="n">
        <v>6</v>
      </c>
      <c r="O4" t="n">
        <v>8</v>
      </c>
      <c r="P4" t="n">
        <v>8</v>
      </c>
      <c r="Q4" t="n">
        <v>9</v>
      </c>
      <c r="R4" t="n">
        <v>8</v>
      </c>
    </row>
    <row r="5">
      <c r="A5" s="4" t="inlineStr">
        <is>
          <t>Claude 4 Sonnet</t>
        </is>
      </c>
      <c r="B5" s="5" t="inlineStr">
        <is>
          <t>Anthropic</t>
        </is>
      </c>
      <c r="C5" s="5" t="n">
        <v>8</v>
      </c>
      <c r="D5" s="5" t="n">
        <v>9</v>
      </c>
      <c r="E5" s="5" t="n">
        <v>8</v>
      </c>
      <c r="F5" s="5" t="n">
        <v>6</v>
      </c>
      <c r="G5" s="5" t="n">
        <v>8</v>
      </c>
      <c r="H5" s="5" t="n">
        <v>8</v>
      </c>
      <c r="I5" s="5" t="n">
        <v>3</v>
      </c>
      <c r="J5" s="5" t="n">
        <v>15</v>
      </c>
      <c r="L5" t="inlineStr">
        <is>
          <t>价格竞争力</t>
        </is>
      </c>
      <c r="M5" t="n">
        <v>3</v>
      </c>
      <c r="N5" t="n">
        <v>10</v>
      </c>
      <c r="O5" t="n">
        <v>4</v>
      </c>
      <c r="P5" t="n">
        <v>6</v>
      </c>
      <c r="Q5" t="n">
        <v>7</v>
      </c>
      <c r="R5" t="n">
        <v>5</v>
      </c>
    </row>
    <row r="6">
      <c r="A6" s="4" t="inlineStr">
        <is>
          <t>Gemini 3.5 Flash</t>
        </is>
      </c>
      <c r="B6" s="5" t="inlineStr">
        <is>
          <t>Google</t>
        </is>
      </c>
      <c r="C6" s="5" t="n">
        <v>8</v>
      </c>
      <c r="D6" s="5" t="n">
        <v>7</v>
      </c>
      <c r="E6" s="5" t="n">
        <v>9</v>
      </c>
      <c r="F6" s="5" t="n">
        <v>7</v>
      </c>
      <c r="G6" s="5" t="n">
        <v>9</v>
      </c>
      <c r="H6" s="5" t="n">
        <v>9</v>
      </c>
      <c r="I6" s="5" t="n">
        <v>1</v>
      </c>
      <c r="J6" s="5" t="n">
        <v>4</v>
      </c>
      <c r="L6" t="inlineStr">
        <is>
          <t>上下文</t>
        </is>
      </c>
      <c r="M6" t="n">
        <v>7</v>
      </c>
      <c r="N6" t="n">
        <v>7</v>
      </c>
      <c r="O6" t="n">
        <v>8</v>
      </c>
      <c r="P6" t="n">
        <v>8</v>
      </c>
      <c r="Q6" t="n">
        <v>9</v>
      </c>
      <c r="R6" t="n">
        <v>8</v>
      </c>
    </row>
    <row r="7">
      <c r="A7" s="4" t="inlineStr">
        <is>
          <t>Gemini 3 Deep Think</t>
        </is>
      </c>
      <c r="B7" s="5" t="inlineStr">
        <is>
          <t>Google</t>
        </is>
      </c>
      <c r="C7" s="5" t="n">
        <v>10</v>
      </c>
      <c r="D7" s="5" t="n">
        <v>7</v>
      </c>
      <c r="E7" s="5" t="n">
        <v>8</v>
      </c>
      <c r="F7" s="5" t="n">
        <v>5</v>
      </c>
      <c r="G7" s="5" t="n">
        <v>8</v>
      </c>
      <c r="H7" s="5" t="n">
        <v>8</v>
      </c>
      <c r="I7" s="5" t="n">
        <v>10</v>
      </c>
      <c r="J7" s="5" t="n">
        <v>40</v>
      </c>
      <c r="L7" t="inlineStr">
        <is>
          <t>生态</t>
        </is>
      </c>
      <c r="M7" t="n">
        <v>10</v>
      </c>
      <c r="N7" t="n">
        <v>7</v>
      </c>
      <c r="O7" t="n">
        <v>8</v>
      </c>
      <c r="P7" t="n">
        <v>8</v>
      </c>
      <c r="Q7" t="n">
        <v>9</v>
      </c>
      <c r="R7" t="n">
        <v>8</v>
      </c>
    </row>
    <row r="8">
      <c r="A8" s="4" t="inlineStr">
        <is>
          <t>豆包 2.0</t>
        </is>
      </c>
      <c r="B8" s="5" t="inlineStr">
        <is>
          <t>字节跳动</t>
        </is>
      </c>
      <c r="C8" s="5" t="n">
        <v>7</v>
      </c>
      <c r="D8" s="5" t="n">
        <v>7</v>
      </c>
      <c r="E8" s="5" t="n">
        <v>8</v>
      </c>
      <c r="F8" s="5" t="n">
        <v>8</v>
      </c>
      <c r="G8" s="5" t="n">
        <v>7</v>
      </c>
      <c r="H8" s="5" t="n">
        <v>10</v>
      </c>
      <c r="I8" s="5" t="n">
        <v>2</v>
      </c>
      <c r="J8" s="5" t="n">
        <v>6</v>
      </c>
    </row>
    <row r="9">
      <c r="A9" s="4" t="inlineStr">
        <is>
          <t>通义千问 (Qwen)</t>
        </is>
      </c>
      <c r="B9" s="5" t="inlineStr">
        <is>
          <t>阿里巴巴</t>
        </is>
      </c>
      <c r="C9" s="5" t="n">
        <v>7</v>
      </c>
      <c r="D9" s="5" t="n">
        <v>7</v>
      </c>
      <c r="E9" s="5" t="n">
        <v>7</v>
      </c>
      <c r="F9" s="5" t="n">
        <v>9</v>
      </c>
      <c r="G9" s="5" t="n">
        <v>8</v>
      </c>
      <c r="H9" s="5" t="n">
        <v>8</v>
      </c>
      <c r="I9" s="5" t="n">
        <v>1</v>
      </c>
      <c r="J9" s="5" t="n">
        <v>3</v>
      </c>
    </row>
    <row r="10">
      <c r="A10" s="4" t="inlineStr">
        <is>
          <t>MiniMax</t>
        </is>
      </c>
      <c r="B10" s="5" t="inlineStr">
        <is>
          <t>MiniMax</t>
        </is>
      </c>
      <c r="C10" s="5" t="n">
        <v>7</v>
      </c>
      <c r="D10" s="5" t="n">
        <v>6</v>
      </c>
      <c r="E10" s="5" t="n">
        <v>8</v>
      </c>
      <c r="F10" s="5" t="n">
        <v>9</v>
      </c>
      <c r="G10" s="5" t="n">
        <v>8</v>
      </c>
      <c r="H10" s="5" t="n">
        <v>6</v>
      </c>
      <c r="I10" s="5" t="n">
        <v>1.5</v>
      </c>
      <c r="J10" s="5" t="n">
        <v>5</v>
      </c>
    </row>
    <row r="11">
      <c r="A11" s="4" t="inlineStr">
        <is>
          <t>GLM-5.2</t>
        </is>
      </c>
      <c r="B11" s="5" t="inlineStr">
        <is>
          <t>智谱</t>
        </is>
      </c>
      <c r="C11" s="5" t="n">
        <v>8</v>
      </c>
      <c r="D11" s="5" t="n">
        <v>7</v>
      </c>
      <c r="E11" s="5" t="n">
        <v>7</v>
      </c>
      <c r="F11" s="5" t="n">
        <v>7</v>
      </c>
      <c r="G11" s="5" t="n">
        <v>8</v>
      </c>
      <c r="H11" s="5" t="n">
        <v>7</v>
      </c>
      <c r="I11" s="5" t="n">
        <v>2</v>
      </c>
      <c r="J11" s="5" t="n">
        <v>8</v>
      </c>
    </row>
    <row r="12">
      <c r="A12" s="4" t="inlineStr">
        <is>
          <t>LongCat-Flash-Thinking-2601</t>
        </is>
      </c>
      <c r="B12" s="5" t="inlineStr">
        <is>
          <t>美团</t>
        </is>
      </c>
      <c r="C12" s="5" t="n">
        <v>9</v>
      </c>
      <c r="D12" s="5" t="n">
        <v>8</v>
      </c>
      <c r="E12" s="5" t="n">
        <v>5</v>
      </c>
      <c r="F12" s="5" t="n">
        <v>10</v>
      </c>
      <c r="G12" s="5" t="n">
        <v>7</v>
      </c>
      <c r="H12" s="5" t="n">
        <v>7</v>
      </c>
      <c r="I12" s="5" t="n">
        <v>0</v>
      </c>
      <c r="J12" s="5" t="n">
        <v>0</v>
      </c>
    </row>
    <row r="13">
      <c r="A13" s="8" t="inlineStr">
        <is>
          <t>平均分</t>
        </is>
      </c>
      <c r="C13" s="7">
        <f>AVERAGE(C2:C12)</f>
        <v/>
      </c>
      <c r="D13" s="7">
        <f>AVERAGE(D2:D12)</f>
        <v/>
      </c>
      <c r="E13" s="7">
        <f>AVERAGE(E2:E12)</f>
        <v/>
      </c>
      <c r="F13" s="7">
        <f>AVERAGE(F2:F12)</f>
        <v/>
      </c>
      <c r="G13" s="7">
        <f>AVERAGE(G2:G12)</f>
        <v/>
      </c>
      <c r="H13" s="7">
        <f>AVERAGE(H2:H12)</f>
        <v/>
      </c>
    </row>
    <row r="15">
      <c r="A15" s="3" t="inlineStr">
        <is>
          <t>模型</t>
        </is>
      </c>
      <c r="B15" s="3" t="inlineStr">
        <is>
          <t>输入价格</t>
        </is>
      </c>
      <c r="C15" s="3" t="inlineStr">
        <is>
          <t>输出价格</t>
        </is>
      </c>
    </row>
    <row r="16">
      <c r="A16" s="4" t="inlineStr">
        <is>
          <t>GPT-5.5</t>
        </is>
      </c>
      <c r="B16" s="5" t="n">
        <v>15</v>
      </c>
      <c r="C16" s="5" t="n">
        <v>60</v>
      </c>
    </row>
    <row r="17">
      <c r="A17" s="4" t="inlineStr">
        <is>
          <t>DeepSeek V4</t>
        </is>
      </c>
      <c r="B17" s="5" t="n">
        <v>2</v>
      </c>
      <c r="C17" s="5" t="n">
        <v>8</v>
      </c>
    </row>
    <row r="18">
      <c r="A18" s="4" t="inlineStr">
        <is>
          <t>Claude 4 Opus</t>
        </is>
      </c>
      <c r="B18" s="5" t="n">
        <v>15</v>
      </c>
      <c r="C18" s="5" t="n">
        <v>75</v>
      </c>
    </row>
    <row r="19">
      <c r="A19" s="4" t="inlineStr">
        <is>
          <t>Claude 4 Sonnet</t>
        </is>
      </c>
      <c r="B19" s="5" t="n">
        <v>3</v>
      </c>
      <c r="C19" s="5" t="n">
        <v>15</v>
      </c>
    </row>
    <row r="20">
      <c r="A20" s="4" t="inlineStr">
        <is>
          <t>Gemini 3.5 Flash</t>
        </is>
      </c>
      <c r="B20" s="5" t="n">
        <v>1</v>
      </c>
      <c r="C20" s="5" t="n">
        <v>4</v>
      </c>
    </row>
    <row r="21">
      <c r="A21" s="4" t="inlineStr">
        <is>
          <t>Gemini 3 Deep Think</t>
        </is>
      </c>
      <c r="B21" s="5" t="n">
        <v>10</v>
      </c>
      <c r="C21" s="5" t="n">
        <v>40</v>
      </c>
    </row>
    <row r="22">
      <c r="A22" s="4" t="inlineStr">
        <is>
          <t>豆包 2.0</t>
        </is>
      </c>
      <c r="B22" s="5" t="n">
        <v>2</v>
      </c>
      <c r="C22" s="5" t="n">
        <v>6</v>
      </c>
    </row>
    <row r="23">
      <c r="A23" s="4" t="inlineStr">
        <is>
          <t>通义千问 (Qwen)</t>
        </is>
      </c>
      <c r="B23" s="5" t="n">
        <v>1</v>
      </c>
      <c r="C23" s="5" t="n">
        <v>3</v>
      </c>
    </row>
    <row r="24">
      <c r="A24" s="4" t="inlineStr">
        <is>
          <t>MiniMax</t>
        </is>
      </c>
      <c r="B24" s="5" t="n">
        <v>1.5</v>
      </c>
      <c r="C24" s="5" t="n">
        <v>5</v>
      </c>
    </row>
    <row r="25">
      <c r="A25" s="4" t="inlineStr">
        <is>
          <t>GLM-5.2</t>
        </is>
      </c>
      <c r="B25" s="5" t="n">
        <v>2</v>
      </c>
      <c r="C25" s="5" t="n">
        <v>8</v>
      </c>
    </row>
    <row r="26">
      <c r="A26" s="4" t="inlineStr">
        <is>
          <t>LongCat-Flash-Thinking-2601</t>
        </is>
      </c>
      <c r="B26" s="5" t="n">
        <v>0</v>
      </c>
      <c r="C26" s="5" t="n">
        <v>0</v>
      </c>
    </row>
  </sheetData>
  <conditionalFormatting sqref="C2:C12">
    <cfRule type="colorScale" priority="1">
      <colorScale>
        <cfvo type="num" val="0"/>
        <cfvo type="num" val="5"/>
        <cfvo type="num" val="10"/>
        <color rgb="00F8696B"/>
        <color rgb="00FFEB84"/>
        <color rgb="0063BE7B"/>
      </colorScale>
    </cfRule>
  </conditionalFormatting>
  <conditionalFormatting sqref="D2:D12">
    <cfRule type="colorScale" priority="2">
      <colorScale>
        <cfvo type="num" val="0"/>
        <cfvo type="num" val="5"/>
        <cfvo type="num" val="10"/>
        <color rgb="00F8696B"/>
        <color rgb="00FFEB84"/>
        <color rgb="0063BE7B"/>
      </colorScale>
    </cfRule>
  </conditionalFormatting>
  <conditionalFormatting sqref="E2:E12">
    <cfRule type="colorScale" priority="3">
      <colorScale>
        <cfvo type="num" val="0"/>
        <cfvo type="num" val="5"/>
        <cfvo type="num" val="10"/>
        <color rgb="00F8696B"/>
        <color rgb="00FFEB84"/>
        <color rgb="0063BE7B"/>
      </colorScale>
    </cfRule>
  </conditionalFormatting>
  <conditionalFormatting sqref="F2:F12">
    <cfRule type="colorScale" priority="4">
      <colorScale>
        <cfvo type="num" val="0"/>
        <cfvo type="num" val="5"/>
        <cfvo type="num" val="10"/>
        <color rgb="00F8696B"/>
        <color rgb="00FFEB84"/>
        <color rgb="0063BE7B"/>
      </colorScale>
    </cfRule>
  </conditionalFormatting>
  <conditionalFormatting sqref="G2:G12">
    <cfRule type="colorScale" priority="5">
      <colorScale>
        <cfvo type="num" val="0"/>
        <cfvo type="num" val="5"/>
        <cfvo type="num" val="10"/>
        <color rgb="00F8696B"/>
        <color rgb="00FFEB84"/>
        <color rgb="0063BE7B"/>
      </colorScale>
    </cfRule>
  </conditionalFormatting>
  <conditionalFormatting sqref="H2:H12">
    <cfRule type="colorScale" priority="6">
      <colorScale>
        <cfvo type="num" val="0"/>
        <cfvo type="num" val="5"/>
        <cfvo type="num" val="10"/>
        <color rgb="00F8696B"/>
        <color rgb="00FFEB84"/>
        <color rgb="0063BE7B"/>
      </colorScale>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12" customWidth="1" min="1" max="1"/>
    <col width="14" customWidth="1" min="2" max="2"/>
    <col width="14" customWidth="1" min="3" max="3"/>
    <col width="14" customWidth="1" min="4" max="4"/>
  </cols>
  <sheetData>
    <row r="1">
      <c r="A1" s="3" t="inlineStr">
        <is>
          <t>月份</t>
        </is>
      </c>
      <c r="B1" s="3" t="inlineStr">
        <is>
          <t>上证综指</t>
        </is>
      </c>
      <c r="C1" s="3" t="inlineStr">
        <is>
          <t>纳斯达克</t>
        </is>
      </c>
      <c r="D1" s="3" t="inlineStr">
        <is>
          <t>恒生科技</t>
        </is>
      </c>
    </row>
    <row r="2">
      <c r="A2" s="4" t="inlineStr">
        <is>
          <t>2026-01</t>
        </is>
      </c>
      <c r="B2" s="5" t="n">
        <v>3350</v>
      </c>
      <c r="C2" s="5" t="n">
        <v>19800</v>
      </c>
      <c r="D2" s="5" t="n">
        <v>5200</v>
      </c>
    </row>
    <row r="3">
      <c r="A3" s="4" t="inlineStr">
        <is>
          <t>2026-02</t>
        </is>
      </c>
      <c r="B3" s="5" t="n">
        <v>3420</v>
      </c>
      <c r="C3" s="5" t="n">
        <v>20100</v>
      </c>
      <c r="D3" s="5" t="n">
        <v>5380</v>
      </c>
    </row>
    <row r="4">
      <c r="A4" s="4" t="inlineStr">
        <is>
          <t>2026-03</t>
        </is>
      </c>
      <c r="B4" s="5" t="n">
        <v>3380</v>
      </c>
      <c r="C4" s="5" t="n">
        <v>20500</v>
      </c>
      <c r="D4" s="5" t="n">
        <v>5500</v>
      </c>
    </row>
    <row r="5">
      <c r="A5" s="4" t="inlineStr">
        <is>
          <t>2026-04</t>
        </is>
      </c>
      <c r="B5" s="5" t="n">
        <v>3450</v>
      </c>
      <c r="C5" s="5" t="n">
        <v>21200</v>
      </c>
      <c r="D5" s="5" t="n">
        <v>5650</v>
      </c>
    </row>
    <row r="6">
      <c r="A6" s="4" t="inlineStr">
        <is>
          <t>2026-05</t>
        </is>
      </c>
      <c r="B6" s="5" t="n">
        <v>3987</v>
      </c>
      <c r="C6" s="5" t="n">
        <v>23500</v>
      </c>
      <c r="D6" s="5" t="n">
        <v>5100</v>
      </c>
    </row>
    <row r="7">
      <c r="A7" s="4" t="inlineStr">
        <is>
          <t>2026-06</t>
        </is>
      </c>
      <c r="B7" s="5" t="n">
        <v>4073.9</v>
      </c>
      <c r="C7" s="5" t="n">
        <v>25820.14</v>
      </c>
      <c r="D7" s="5" t="n">
        <v>4393.01</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26" customWidth="1" min="1" max="1"/>
    <col width="12" customWidth="1" min="2" max="2"/>
    <col width="12" customWidth="1" min="3" max="3"/>
    <col width="30" customWidth="1" min="4" max="4"/>
  </cols>
  <sheetData>
    <row r="1">
      <c r="A1" s="3" t="inlineStr">
        <is>
          <t>指标</t>
        </is>
      </c>
      <c r="B1" s="3" t="inlineStr">
        <is>
          <t>数值</t>
        </is>
      </c>
      <c r="C1" s="3" t="inlineStr">
        <is>
          <t>单位</t>
        </is>
      </c>
      <c r="D1" s="3" t="inlineStr">
        <is>
          <t>说明</t>
        </is>
      </c>
    </row>
    <row r="2">
      <c r="A2" s="4" t="inlineStr">
        <is>
          <t>韩国政府AI/半导体出资</t>
        </is>
      </c>
      <c r="B2" s="5" t="n">
        <v>1461</v>
      </c>
      <c r="C2" s="5" t="inlineStr">
        <is>
          <t>万亿韩元</t>
        </is>
      </c>
      <c r="D2" s="5" t="inlineStr">
        <is>
          <t>政府出资部分</t>
        </is>
      </c>
    </row>
    <row r="3">
      <c r="A3" s="4" t="inlineStr">
        <is>
          <t>韩国企业追加投资</t>
        </is>
      </c>
      <c r="B3" s="5" t="n">
        <v>4755</v>
      </c>
      <c r="C3" s="5" t="inlineStr">
        <is>
          <t>万亿韩元</t>
        </is>
      </c>
      <c r="D3" s="5" t="inlineStr">
        <is>
          <t>企业投资部分</t>
        </is>
      </c>
    </row>
    <row r="4">
      <c r="A4" s="4" t="inlineStr">
        <is>
          <t>中国芯片出口同比增速</t>
        </is>
      </c>
      <c r="B4" s="5" t="n">
        <v>110</v>
      </c>
      <c r="C4" s="5" t="inlineStr">
        <is>
          <t>%</t>
        </is>
      </c>
      <c r="D4" s="5" t="inlineStr">
        <is>
          <t>2026年5月海关数据</t>
        </is>
      </c>
    </row>
    <row r="5">
      <c r="A5" s="4" t="inlineStr">
        <is>
          <t>美股纳斯达克涨幅</t>
        </is>
      </c>
      <c r="B5" s="5" t="n">
        <v>2.07</v>
      </c>
      <c r="C5" s="5" t="inlineStr">
        <is>
          <t>%</t>
        </is>
      </c>
      <c r="D5" s="5" t="inlineStr">
        <is>
          <t>2026-06-30收盘</t>
        </is>
      </c>
    </row>
    <row r="6">
      <c r="A6" s="4" t="inlineStr">
        <is>
          <t>A股科创50涨幅</t>
        </is>
      </c>
      <c r="B6" s="5" t="n">
        <v>4.61</v>
      </c>
      <c r="C6" s="5" t="inlineStr">
        <is>
          <t>%</t>
        </is>
      </c>
      <c r="D6" s="5" t="inlineStr">
        <is>
          <t>2026-06-29收盘</t>
        </is>
      </c>
    </row>
    <row r="7">
      <c r="A7" s="4" t="inlineStr">
        <is>
          <t>半导体设备增速预期</t>
        </is>
      </c>
      <c r="B7" s="5" t="n">
        <v>23.5</v>
      </c>
      <c r="C7" s="5" t="inlineStr">
        <is>
          <t>%</t>
        </is>
      </c>
      <c r="D7" s="5" t="inlineStr">
        <is>
          <t>SEAJ等设备协会预期</t>
        </is>
      </c>
    </row>
    <row r="8">
      <c r="A8" s="4" t="inlineStr">
        <is>
          <t>存储芯片价格景气度</t>
        </is>
      </c>
      <c r="B8" s="5" t="n">
        <v>8</v>
      </c>
      <c r="C8" s="5" t="inlineStr">
        <is>
          <t>分(0-10)</t>
        </is>
      </c>
      <c r="D8" s="5" t="inlineStr">
        <is>
          <t>主观景气评分</t>
        </is>
      </c>
    </row>
    <row r="9">
      <c r="A9" s="4" t="inlineStr">
        <is>
          <t>AI服务器出货增速</t>
        </is>
      </c>
      <c r="B9" s="5" t="n">
        <v>35</v>
      </c>
      <c r="C9" s="5" t="inlineStr">
        <is>
          <t>%</t>
        </is>
      </c>
      <c r="D9" s="5" t="inlineStr">
        <is>
          <t>行业预估</t>
        </is>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G101"/>
  <sheetViews>
    <sheetView workbookViewId="0">
      <selection activeCell="A1" sqref="A1"/>
    </sheetView>
  </sheetViews>
  <sheetFormatPr baseColWidth="8" defaultRowHeight="15"/>
  <cols>
    <col width="45" customWidth="1" min="1" max="1"/>
    <col width="20" customWidth="1" min="2" max="2"/>
    <col width="18" customWidth="1" min="3" max="3"/>
    <col width="18" customWidth="1" min="4" max="4"/>
    <col width="10" customWidth="1" min="5" max="5"/>
    <col width="50" customWidth="1" min="6" max="6"/>
    <col width="35" customWidth="1" min="7" max="7"/>
  </cols>
  <sheetData>
    <row r="1">
      <c r="A1" s="3" t="inlineStr">
        <is>
          <t>标题</t>
        </is>
      </c>
      <c r="B1" s="3" t="inlineStr">
        <is>
          <t>作者</t>
        </is>
      </c>
      <c r="C1" s="3" t="inlineStr">
        <is>
          <t>会议</t>
        </is>
      </c>
      <c r="D1" s="3" t="inlineStr">
        <is>
          <t>奖项</t>
        </is>
      </c>
      <c r="E1" s="3" t="inlineStr">
        <is>
          <t>商业潜力</t>
        </is>
      </c>
      <c r="F1" s="3" t="inlineStr">
        <is>
          <t>摘要</t>
        </is>
      </c>
      <c r="G1" s="3" t="inlineStr">
        <is>
          <t>链接</t>
        </is>
      </c>
    </row>
    <row r="2">
      <c r="A2" s="4" t="inlineStr">
        <is>
          <t>D4RT: Unified, Fast 4D Scene Reconstruction &amp; Tracking</t>
        </is>
      </c>
      <c r="B2" s="5" t="inlineStr">
        <is>
          <t>Chuhan Zhang, Guillaume Le Moing, Skanda Koppula et al.</t>
        </is>
      </c>
      <c r="C2" s="5" t="inlineStr">
        <is>
          <t>CVPR 2026</t>
        </is>
      </c>
      <c r="D2" s="5" t="inlineStr">
        <is>
          <t>最佳论文</t>
        </is>
      </c>
      <c r="E2" s="5" t="n">
        <v>3</v>
      </c>
      <c r="F2" s="5" t="inlineStr">
        <is>
          <t>统一前馈Transformer联合推断深度/时空/相机参数，速度快18-300倍</t>
        </is>
      </c>
      <c r="G2" s="5" t="inlineStr">
        <is>
          <t>https://arxiv.org/abs/2512.08924</t>
        </is>
      </c>
    </row>
    <row r="3">
      <c r="A3" s="4" t="inlineStr">
        <is>
          <t>TRELLIS.2: Native and Compact Structured Latents for 3D Generation</t>
        </is>
      </c>
      <c r="B3" s="5" t="inlineStr">
        <is>
          <t>Jianfeng Xiang, Xiaoxue Chen, Sicheng Xu et al.</t>
        </is>
      </c>
      <c r="C3" s="5" t="inlineStr">
        <is>
          <t>CVPR 2026</t>
        </is>
      </c>
      <c r="D3" s="5" t="inlineStr">
        <is>
          <t>最佳学生论文</t>
        </is>
      </c>
      <c r="E3" s="5" t="n">
        <v>5</v>
      </c>
      <c r="F3" s="5" t="inlineStr">
        <is>
          <t>提出O-Voxel结构化潜表示，实现原生3D大模型生成，17秒内生成超高精度PBR资产</t>
        </is>
      </c>
      <c r="G3" s="5" t="inlineStr">
        <is>
          <t>https://arxiv.org/abs/2512.14692</t>
        </is>
      </c>
    </row>
    <row r="4">
      <c r="A4" s="4" t="inlineStr">
        <is>
          <t>NitroGen: An Open Foundation Model for Generalist Gaming Agents</t>
        </is>
      </c>
      <c r="B4" s="5" t="inlineStr">
        <is>
          <t>Loic Magne et al.</t>
        </is>
      </c>
      <c r="C4" s="5" t="inlineStr">
        <is>
          <t>CVPR 2026</t>
        </is>
      </c>
      <c r="D4" s="5" t="inlineStr">
        <is>
          <t>最佳论文荣誉提名</t>
        </is>
      </c>
      <c r="E4" s="5" t="n">
        <v>4</v>
      </c>
      <c r="F4" s="5" t="inlineStr">
        <is>
          <t>基于40,000小时游戏视频训练的通用视觉-动作基础模型，可在1,000多款游戏中执行通用游戏智能体任务</t>
        </is>
      </c>
      <c r="G4" s="5" t="inlineStr">
        <is>
          <t>https://arxiv.org/abs/2601.02427</t>
        </is>
      </c>
    </row>
    <row r="5">
      <c r="A5" s="4" t="inlineStr">
        <is>
          <t>Transformers are Inherently Succinct</t>
        </is>
      </c>
      <c r="B5" s="5" t="inlineStr">
        <is>
          <t>Pascal Bergstraesser, Ryan Cotterell, Anthony W. Lin</t>
        </is>
      </c>
      <c r="C5" s="5" t="inlineStr">
        <is>
          <t>ICLR 2026</t>
        </is>
      </c>
      <c r="D5" s="5" t="inlineStr">
        <is>
          <t>杰出论文奖</t>
        </is>
      </c>
      <c r="E5" s="5" t="n">
        <v>2</v>
      </c>
      <c r="F5" s="5" t="inlineStr">
        <is>
          <t>理论证明固定精度的Transformer在表达能力上具有内在简洁性，指数级压缩成为可能</t>
        </is>
      </c>
      <c r="G5" s="5" t="inlineStr">
        <is>
          <t>https://arxiv.org/abs/2510.19315</t>
        </is>
      </c>
    </row>
    <row r="6">
      <c r="A6" s="4" t="inlineStr">
        <is>
          <t>LLMs Get Lost In Multi-Turn Conversation</t>
        </is>
      </c>
      <c r="B6" s="5" t="inlineStr">
        <is>
          <t>Philippe Laban, Hiroaki Hayashi, Yingbo Zhou, Jennifer Neville</t>
        </is>
      </c>
      <c r="C6" s="5" t="inlineStr">
        <is>
          <t>ICLR 2026</t>
        </is>
      </c>
      <c r="D6" s="5" t="inlineStr">
        <is>
          <t>杰出论文奖</t>
        </is>
      </c>
      <c r="E6" s="5" t="n">
        <v>3</v>
      </c>
      <c r="F6" s="5" t="inlineStr">
        <is>
          <t>系统评估LLM在多轮对话中的退化现象，性能下降达39%，早期假设锚定效应导致纠正失败</t>
        </is>
      </c>
      <c r="G6" s="5" t="inlineStr">
        <is>
          <t>https://arxiv.org/abs/2505.06120</t>
        </is>
      </c>
    </row>
    <row r="7">
      <c r="A7" s="4" t="inlineStr">
        <is>
          <t>OPUS: Towards Efficient and Principled Data Selection in Large Language Model Pre-training in Every Iteration</t>
        </is>
      </c>
      <c r="B7" s="5" t="inlineStr">
        <is>
          <t>Shaobo Wang, Xuan Ouyang, Tianyi Xu, Yuzheng Hu et al.</t>
        </is>
      </c>
      <c r="C7" s="5" t="inlineStr">
        <is>
          <t>ICML 2026</t>
        </is>
      </c>
      <c r="D7" s="5" t="inlineStr">
        <is>
          <t>Oral</t>
        </is>
      </c>
      <c r="E7" s="5" t="n">
        <v>4</v>
      </c>
      <c r="F7" s="5" t="inlineStr">
        <is>
          <t>提出在LLM预训练每次迭代中进行高效数据选择的方法，仅用1/7数据超越全量训练</t>
        </is>
      </c>
      <c r="G7" s="5" t="inlineStr">
        <is>
          <t>https://arxiv.org/abs/2602.05400</t>
        </is>
      </c>
    </row>
    <row r="8">
      <c r="A8" s="4" t="inlineStr">
        <is>
          <t>Do We Need Adam? Surprisingly Strong and Sparse Reinforcement Learning with SGD in LLMs</t>
        </is>
      </c>
      <c r="B8" s="5" t="inlineStr">
        <is>
          <t>Sagnik Mukherjee, Lifan Yuan, Pavan Jayasinha, Dilek Hakkani-Tuer, Hao Peng</t>
        </is>
      </c>
      <c r="C8" s="5" t="inlineStr">
        <is>
          <t>ICML 2026</t>
        </is>
      </c>
      <c r="D8" s="5" t="inlineStr">
        <is>
          <t>Oral</t>
        </is>
      </c>
      <c r="E8" s="5" t="n">
        <v>4</v>
      </c>
      <c r="F8" s="5" t="inlineStr">
        <is>
          <t>挑战Adam优化器在LLM RL中的主导地位，SGD仅更新0.02%参数即匹配AdamW效果</t>
        </is>
      </c>
      <c r="G8" s="5" t="inlineStr">
        <is>
          <t>https://arxiv.org/abs/2602.07729</t>
        </is>
      </c>
    </row>
    <row r="9">
      <c r="A9" s="4" t="inlineStr">
        <is>
          <t>Are VLMs Seeing or Just Saying? Uncovering the Illusion of Visual Perception in Multimodal LLMs</t>
        </is>
      </c>
      <c r="B9" s="5" t="inlineStr">
        <is>
          <t>Chufan Shi, Cheng Yang, Jiaqi Wang et al.</t>
        </is>
      </c>
      <c r="C9" s="5" t="inlineStr">
        <is>
          <t>ICML 2026</t>
        </is>
      </c>
      <c r="D9" s="5" t="inlineStr">
        <is>
          <t>Oral</t>
        </is>
      </c>
      <c r="E9" s="5" t="n">
        <v>3</v>
      </c>
      <c r="F9" s="5" t="inlineStr">
        <is>
          <t>揭示多模态大模型中视觉感知幻觉，thinking模型视觉幻觉频率是普通VLM的3倍</t>
        </is>
      </c>
      <c r="G9" s="5" t="inlineStr">
        <is>
          <t>https://arxiv.org/abs/2605.15864</t>
        </is>
      </c>
    </row>
    <row r="10">
      <c r="A10" s="4" t="inlineStr">
        <is>
          <t>PP-OCRv6: From 1.5M to 34.5M Parameters, Surpassing Billion-Scale VLMs</t>
        </is>
      </c>
      <c r="B10" s="5" t="inlineStr">
        <is>
          <t>百度 PaddlePaddle 团队</t>
        </is>
      </c>
      <c r="C10" s="5" t="inlineStr">
        <is>
          <t>arXiv 2026</t>
        </is>
      </c>
      <c r="D10" s="5" t="inlineStr"/>
      <c r="E10" s="5" t="n">
        <v>0</v>
      </c>
      <c r="F10" s="5" t="inlineStr">
        <is>
          <t>轻量级OCR系统，34.5M参数超越十亿级VLM</t>
        </is>
      </c>
      <c r="G10" s="5" t="inlineStr"/>
    </row>
    <row r="11">
      <c r="A11" s="4" t="inlineStr">
        <is>
          <t>SENTINEL: Failure-Driven RL for Tool-Using LLM Agents</t>
        </is>
      </c>
      <c r="B11" s="5" t="inlineStr">
        <is>
          <t>Ziyi Wang, Yuxuan Lu 等</t>
        </is>
      </c>
      <c r="C11" s="5" t="inlineStr">
        <is>
          <t>arXiv 2026</t>
        </is>
      </c>
      <c r="D11" s="5" t="inlineStr"/>
      <c r="E11" s="5" t="n">
        <v>0</v>
      </c>
      <c r="F11" s="5" t="inlineStr">
        <is>
          <t>失败驱动强化学习框架，高效训练工具使用agent</t>
        </is>
      </c>
      <c r="G11" s="5" t="inlineStr"/>
    </row>
    <row r="12">
      <c r="A12" s="4" t="inlineStr">
        <is>
          <t>Boltzmann Attention: Learnable Ising Couplings for Cooperative Attention</t>
        </is>
      </c>
      <c r="B12" s="5" t="inlineStr">
        <is>
          <t>Gilhan Kim, Daniel K. Park</t>
        </is>
      </c>
      <c r="C12" s="5" t="inlineStr">
        <is>
          <t>arXiv 2026</t>
        </is>
      </c>
      <c r="D12" s="5" t="inlineStr"/>
      <c r="E12" s="5" t="n">
        <v>0</v>
      </c>
      <c r="F12" s="5" t="inlineStr">
        <is>
          <t>统计物理Ising模型引入注意力机制</t>
        </is>
      </c>
      <c r="G12" s="5" t="inlineStr"/>
    </row>
    <row r="13">
      <c r="A13" s="4" t="inlineStr">
        <is>
          <t>HYDRA-X: Native Unified Multimodal Models with Holistic Visual Tokenizers</t>
        </is>
      </c>
      <c r="B13" s="5" t="inlineStr">
        <is>
          <t>Zhang, Qiu, Cui 等</t>
        </is>
      </c>
      <c r="C13" s="5" t="inlineStr">
        <is>
          <t>arXiv 2026</t>
        </is>
      </c>
      <c r="D13" s="5" t="inlineStr"/>
      <c r="E13" s="5" t="n">
        <v>0</v>
      </c>
      <c r="F13" s="5" t="inlineStr">
        <is>
          <t>统一多模态模型架构，整体式视觉tokenizer</t>
        </is>
      </c>
      <c r="G13" s="5" t="inlineStr"/>
    </row>
    <row r="14">
      <c r="A14" s="4" t="inlineStr">
        <is>
          <t>The Hidden Power of Scaling Factor in LoRA Optimization</t>
        </is>
      </c>
      <c r="B14" s="5" t="inlineStr">
        <is>
          <t>Zicheng Zhang, Haoran Li 等</t>
        </is>
      </c>
      <c r="C14" s="5" t="inlineStr">
        <is>
          <t>arXiv 2026</t>
        </is>
      </c>
      <c r="D14" s="5" t="inlineStr"/>
      <c r="E14" s="5" t="n">
        <v>0</v>
      </c>
      <c r="F14" s="5" t="inlineStr">
        <is>
          <t>揭示LoRA缩放因子alpha的独立影响</t>
        </is>
      </c>
      <c r="G14" s="5" t="inlineStr"/>
    </row>
    <row r="15">
      <c r="A15" s="4" t="inlineStr">
        <is>
          <t>PP-OCRv6: From 1.5M to 34.5M Parameters, Surpassing Billion-Scale VLMs</t>
        </is>
      </c>
      <c r="B15" s="5" t="inlineStr">
        <is>
          <t>百度 PaddlePaddle 团队</t>
        </is>
      </c>
      <c r="C15" s="5" t="inlineStr">
        <is>
          <t>arXiv 2026</t>
        </is>
      </c>
      <c r="D15" s="5" t="inlineStr"/>
      <c r="E15" s="5" t="n">
        <v>0</v>
      </c>
      <c r="F15" s="5" t="inlineStr">
        <is>
          <t>轻量级OCR系统，34.5M参数超越十亿级VLM</t>
        </is>
      </c>
      <c r="G15" s="5" t="inlineStr"/>
    </row>
    <row r="16">
      <c r="A16" s="4" t="inlineStr">
        <is>
          <t>SENTINEL: Failure-Driven Reinforcement Learning for Tool-Using LLM Agents</t>
        </is>
      </c>
      <c r="B16" s="5" t="inlineStr">
        <is>
          <t>Ziyi Wang, Yuxuan Lu 等</t>
        </is>
      </c>
      <c r="C16" s="5" t="inlineStr">
        <is>
          <t>arXiv 2026</t>
        </is>
      </c>
      <c r="D16" s="5" t="inlineStr"/>
      <c r="E16" s="5" t="n">
        <v>0</v>
      </c>
      <c r="F16" s="5" t="inlineStr">
        <is>
          <t>失败驱动强化学习框架，高效训练工具使用agent</t>
        </is>
      </c>
      <c r="G16" s="5" t="inlineStr"/>
    </row>
    <row r="17">
      <c r="A17" s="4" t="inlineStr">
        <is>
          <t>Boltzmann Attention: Learnable Ising Couplings for Cooperative Attention</t>
        </is>
      </c>
      <c r="B17" s="5" t="inlineStr">
        <is>
          <t>Gilhan Kim, Daniel K. Park</t>
        </is>
      </c>
      <c r="C17" s="5" t="inlineStr">
        <is>
          <t>arXiv 2026</t>
        </is>
      </c>
      <c r="D17" s="5" t="inlineStr"/>
      <c r="E17" s="5" t="n">
        <v>0</v>
      </c>
      <c r="F17" s="5" t="inlineStr">
        <is>
          <t>统计物理Ising模型引入注意力机制</t>
        </is>
      </c>
      <c r="G17" s="5" t="inlineStr"/>
    </row>
    <row r="18">
      <c r="A18" s="4" t="inlineStr">
        <is>
          <t>HYDRA-X: Native Unified Multimodal Models with Holistic Visual Tokenizers</t>
        </is>
      </c>
      <c r="B18" s="5" t="inlineStr">
        <is>
          <t>Zhang, Qiu, Cui 等</t>
        </is>
      </c>
      <c r="C18" s="5" t="inlineStr">
        <is>
          <t>arXiv 2026</t>
        </is>
      </c>
      <c r="D18" s="5" t="inlineStr"/>
      <c r="E18" s="5" t="n">
        <v>0</v>
      </c>
      <c r="F18" s="5" t="inlineStr">
        <is>
          <t>统一多模态模型架构，整体式视觉tokenizer</t>
        </is>
      </c>
      <c r="G18" s="5" t="inlineStr"/>
    </row>
    <row r="19">
      <c r="A19" s="4" t="inlineStr">
        <is>
          <t>The Hidden Power of Scaling Factor in LoRA Optimization</t>
        </is>
      </c>
      <c r="B19" s="5" t="inlineStr">
        <is>
          <t>Zicheng Zhang, Haoran Li 等</t>
        </is>
      </c>
      <c r="C19" s="5" t="inlineStr">
        <is>
          <t>arXiv 2026</t>
        </is>
      </c>
      <c r="D19" s="5" t="inlineStr"/>
      <c r="E19" s="5" t="n">
        <v>0</v>
      </c>
      <c r="F19" s="5" t="inlineStr">
        <is>
          <t>揭示LoRA缩放因子alpha的独立影响</t>
        </is>
      </c>
      <c r="G19" s="5" t="inlineStr"/>
    </row>
    <row r="20">
      <c r="A20" s="4" t="inlineStr">
        <is>
          <t>ExpWeaver: LLM Agents Learn from Experience via Latent RAG</t>
        </is>
      </c>
      <c r="B20" s="5" t="inlineStr">
        <is>
          <t>未公开</t>
        </is>
      </c>
      <c r="C20" s="5" t="inlineStr">
        <is>
          <t>arXiv 2026</t>
        </is>
      </c>
      <c r="D20" s="5" t="inlineStr"/>
      <c r="E20" s="5" t="n">
        <v>0</v>
      </c>
      <c r="F20" s="5" t="inlineStr">
        <is>
          <t>通过潜在表示实现Agent经验积累和复用</t>
        </is>
      </c>
      <c r="G20" s="5" t="inlineStr"/>
    </row>
    <row r="21">
      <c r="A21" s="4" t="inlineStr">
        <is>
          <t>REFLECT: Intervention-Supported Error Attribution for Silent Failures in LLM Agents</t>
        </is>
      </c>
      <c r="B21" s="5" t="inlineStr">
        <is>
          <t>未公开</t>
        </is>
      </c>
      <c r="C21" s="5" t="inlineStr">
        <is>
          <t>arXiv 2026</t>
        </is>
      </c>
      <c r="D21" s="5" t="inlineStr"/>
      <c r="E21" s="5" t="n">
        <v>0</v>
      </c>
      <c r="F21" s="5" t="inlineStr">
        <is>
          <t>针对Agent静默失败提出干预支持的错误归因框架</t>
        </is>
      </c>
      <c r="G21" s="5" t="inlineStr"/>
    </row>
    <row r="22">
      <c r="A22" s="4" t="inlineStr">
        <is>
          <t>PP-OCRv6: From 1.5M to 34.5M Parameters, Surpassing Billion-Scale VLMs</t>
        </is>
      </c>
      <c r="B22" s="5" t="inlineStr">
        <is>
          <t>百度 PaddlePaddle 团队</t>
        </is>
      </c>
      <c r="C22" s="5" t="inlineStr">
        <is>
          <t>arXiv 2026</t>
        </is>
      </c>
      <c r="D22" s="5" t="inlineStr"/>
      <c r="E22" s="5" t="n">
        <v>5</v>
      </c>
      <c r="F22" s="5" t="inlineStr">
        <is>
          <t>轻量级OCR系统，34.5M参数超越十亿级VLM的OCR能力</t>
        </is>
      </c>
      <c r="G22" s="5" t="inlineStr">
        <is>
          <t>https://arxiv.org/abs/2606.13108</t>
        </is>
      </c>
    </row>
    <row r="23">
      <c r="A23" s="4" t="inlineStr">
        <is>
          <t>SENTINEL: Failure-Driven Reinforcement Learning for Tool-Using LLM Agents</t>
        </is>
      </c>
      <c r="B23" s="5" t="inlineStr">
        <is>
          <t>Ziyi Wang, Yuxuan Lu 等</t>
        </is>
      </c>
      <c r="C23" s="5" t="inlineStr">
        <is>
          <t>arXiv 2026</t>
        </is>
      </c>
      <c r="D23" s="5" t="inlineStr"/>
      <c r="E23" s="5" t="n">
        <v>4</v>
      </c>
      <c r="F23" s="5" t="inlineStr">
        <is>
          <t>失败驱动强化学习框架，高效训练工具使用Agent，训练效率提升3-5倍</t>
        </is>
      </c>
      <c r="G23" s="5" t="inlineStr">
        <is>
          <t>https://arxiv.org/abs/2606.12908</t>
        </is>
      </c>
    </row>
    <row r="24">
      <c r="A24" s="4" t="inlineStr">
        <is>
          <t>Boltzmann Attention: Learnable Ising Couplings for Cooperative Attention</t>
        </is>
      </c>
      <c r="B24" s="5" t="inlineStr">
        <is>
          <t>Gilhan Kim, Daniel K. Park</t>
        </is>
      </c>
      <c r="C24" s="5" t="inlineStr">
        <is>
          <t>arXiv 2026</t>
        </is>
      </c>
      <c r="D24" s="5" t="inlineStr"/>
      <c r="E24" s="5" t="n">
        <v>2</v>
      </c>
      <c r="F24" s="5" t="inlineStr">
        <is>
          <t>将统计物理Ising模型引入注意力机制，实现注意力头协同工作</t>
        </is>
      </c>
      <c r="G24" s="5" t="inlineStr">
        <is>
          <t>https://arxiv.org/abs/2606.12478</t>
        </is>
      </c>
    </row>
    <row r="25">
      <c r="A25" s="4" t="inlineStr">
        <is>
          <t>HYDRA-X: Native Unified Multimodal Models with Holistic Visual Tokenizers</t>
        </is>
      </c>
      <c r="B25" s="5" t="inlineStr">
        <is>
          <t>Zhang, Qiu, Cui 等</t>
        </is>
      </c>
      <c r="C25" s="5" t="inlineStr">
        <is>
          <t>arXiv 2026</t>
        </is>
      </c>
      <c r="D25" s="5" t="inlineStr"/>
      <c r="E25" s="5" t="n">
        <v>4</v>
      </c>
      <c r="F25" s="5" t="inlineStr">
        <is>
          <t>原生统一多模态模型架构，整体式视觉tokenizer替代传统patch分割</t>
        </is>
      </c>
      <c r="G25" s="5" t="inlineStr">
        <is>
          <t>https://arxiv.org/abs/2606.13289</t>
        </is>
      </c>
    </row>
    <row r="26">
      <c r="A26" s="4" t="inlineStr">
        <is>
          <t>The Hidden Power of Scaling Factor in LoRA Optimization</t>
        </is>
      </c>
      <c r="B26" s="5" t="inlineStr">
        <is>
          <t>Zicheng Zhang, Haoran Li 等</t>
        </is>
      </c>
      <c r="C26" s="5" t="inlineStr">
        <is>
          <t>arXiv 2026</t>
        </is>
      </c>
      <c r="D26" s="5" t="inlineStr"/>
      <c r="E26" s="5" t="n">
        <v>3</v>
      </c>
      <c r="F26" s="5" t="inlineStr">
        <is>
          <t>揭示LoRA缩放因子alpha的独立影响，提出自适应选择策略</t>
        </is>
      </c>
      <c r="G26" s="5" t="inlineStr">
        <is>
          <t>https://arxiv.org/abs/2606.12883</t>
        </is>
      </c>
    </row>
    <row r="27">
      <c r="A27" s="4" t="inlineStr">
        <is>
          <t>ExpWeaver: LLM Agents Learn from Experience via Latent RAG</t>
        </is>
      </c>
      <c r="B27" s="5" t="inlineStr">
        <is>
          <t>未公开</t>
        </is>
      </c>
      <c r="C27" s="5" t="inlineStr">
        <is>
          <t>arXiv 2026</t>
        </is>
      </c>
      <c r="D27" s="5" t="inlineStr"/>
      <c r="E27" s="5" t="n">
        <v>3</v>
      </c>
      <c r="F27" s="5" t="inlineStr">
        <is>
          <t>通过潜在表示实现Agent经验积累和复用，构建经验检索库</t>
        </is>
      </c>
      <c r="G27" s="5" t="inlineStr">
        <is>
          <t>https://arxiv.org/abs/2606.01041</t>
        </is>
      </c>
    </row>
    <row r="28">
      <c r="A28" s="4" t="inlineStr">
        <is>
          <t>REFLECT: Intervention-Supported Error Attribution for Silent Failures in LLM Agents</t>
        </is>
      </c>
      <c r="B28" s="5" t="inlineStr">
        <is>
          <t>未公开</t>
        </is>
      </c>
      <c r="C28" s="5" t="inlineStr">
        <is>
          <t>arXiv 2026</t>
        </is>
      </c>
      <c r="D28" s="5" t="inlineStr"/>
      <c r="E28" s="5" t="n">
        <v>3</v>
      </c>
      <c r="F28" s="5" t="inlineStr">
        <is>
          <t>针对Agent静默失败提出干预支持的错误归因框架，错误检测率提升40%+</t>
        </is>
      </c>
      <c r="G28" s="5" t="inlineStr">
        <is>
          <t>https://arxiv.org/abs/2606.09071</t>
        </is>
      </c>
    </row>
    <row r="29">
      <c r="A29" s="4" t="inlineStr">
        <is>
          <t>Gaze Heads: How VLMs Look at What They Describe</t>
        </is>
      </c>
      <c r="B29" s="5" t="inlineStr">
        <is>
          <t>Rohit Gandikota, David Bau</t>
        </is>
      </c>
      <c r="C29" s="5" t="inlineStr">
        <is>
          <t>arXiv 2026</t>
        </is>
      </c>
      <c r="D29" s="5" t="inlineStr"/>
      <c r="E29" s="5" t="n">
        <v>3</v>
      </c>
      <c r="F29" s="5" t="inlineStr">
        <is>
          <t>发现VLM中演化出特殊的gaze heads注意力头，注意力分布追踪模型正在描述的图像区域</t>
        </is>
      </c>
      <c r="G29" s="5" t="inlineStr">
        <is>
          <t>https://arxiv.org/abs/2606.14703</t>
        </is>
      </c>
    </row>
    <row r="30">
      <c r="A30" s="4" t="inlineStr">
        <is>
          <t>OmniVideo-100K: A Dataset for Audio-Visual Reasoning through Structured Scripts and Evidence Chains</t>
        </is>
      </c>
      <c r="B30" s="5" t="inlineStr">
        <is>
          <t>Xinyue Cai, Chaoyou Fu, Yi-Fan Zhang, Ran He, Caifeng Shan</t>
        </is>
      </c>
      <c r="C30" s="5" t="inlineStr">
        <is>
          <t>arXiv 2026</t>
        </is>
      </c>
      <c r="D30" s="5" t="inlineStr"/>
      <c r="E30" s="5" t="n">
        <v>4</v>
      </c>
      <c r="F30" s="5" t="inlineStr">
        <is>
          <t>提出OmniVideo-100K数据集，通过实体锚定视频脚本与线索引导问答生成构建结构化证据链</t>
        </is>
      </c>
      <c r="G30" s="5" t="inlineStr">
        <is>
          <t>https://arxiv.org/abs/2606.14702</t>
        </is>
      </c>
    </row>
    <row r="31">
      <c r="A31" s="4" t="inlineStr">
        <is>
          <t>RATS! Patches Talk Through Registers: Emergent Parts in Register Attention Transformers</t>
        </is>
      </c>
      <c r="B31" s="5" t="inlineStr">
        <is>
          <t>Timing Yang, Predrag Neskovic, Jansen Seheult, Wenchao Han, Anand Bhattad, Alan Yuille, Feng Wang</t>
        </is>
      </c>
      <c r="C31" s="5" t="inlineStr">
        <is>
          <t>arXiv 2026</t>
        </is>
      </c>
      <c r="D31" s="5" t="inlineStr"/>
      <c r="E31" s="5" t="n">
        <v>3</v>
      </c>
      <c r="F31" s="5" t="inlineStr">
        <is>
          <t>通过寄存器注意力机制，Transformer patch令牌涌现出对物体部件的显式表达</t>
        </is>
      </c>
      <c r="G31" s="5" t="inlineStr">
        <is>
          <t>https://arxiv.org/abs/2606.14701</t>
        </is>
      </c>
    </row>
    <row r="32">
      <c r="A32" s="4" t="inlineStr">
        <is>
          <t>RepFusion: Leveraging Multimodal Priors for Denoising in Representation Space</t>
        </is>
      </c>
      <c r="B32" s="5" t="inlineStr">
        <is>
          <t>Xichen Pan, Aashu Singh, Satya Narayan Shukla, Xiangjun Fan, Shlok Kumar Mishra, Saining Xie</t>
        </is>
      </c>
      <c r="C32" s="5" t="inlineStr">
        <is>
          <t>arXiv 2026</t>
        </is>
      </c>
      <c r="D32" s="5" t="inlineStr"/>
      <c r="E32" s="5" t="n">
        <v>4</v>
      </c>
      <c r="F32" s="5" t="inlineStr">
        <is>
          <t>将MLLM重新用作带噪表示编码器，输出直接作为扩散Transformer条件信号</t>
        </is>
      </c>
      <c r="G32" s="5" t="inlineStr">
        <is>
          <t>https://arxiv.org/abs/2606.14700</t>
        </is>
      </c>
    </row>
    <row r="33">
      <c r="A33" s="4" t="inlineStr">
        <is>
          <t>AdaSR: Adaptive Streaming Reasoning with Hierarchical Relative Policy Optimization</t>
        </is>
      </c>
      <c r="B33" s="5" t="inlineStr">
        <is>
          <t>Junlong Tong, Wenqi Xu, Yingqi Fan, Anhao Zhao, Xuan Lu, Yang Tan, Xiaoyu Shen</t>
        </is>
      </c>
      <c r="C33" s="5" t="inlineStr">
        <is>
          <t>arXiv 2026</t>
        </is>
      </c>
      <c r="D33" s="5" t="inlineStr"/>
      <c r="E33" s="5" t="n">
        <v>4</v>
      </c>
      <c r="F33" s="5" t="inlineStr">
        <is>
          <t>自适应流式推理框架，输入流式传输过程中即可推理，突破传统读-再想模式延迟瓶颈</t>
        </is>
      </c>
      <c r="G33" s="5" t="inlineStr">
        <is>
          <t>https://arxiv.org/abs/2606.14694</t>
        </is>
      </c>
    </row>
    <row r="34">
      <c r="A34" s="4" t="inlineStr">
        <is>
          <t>CORA: Analyzing and Bridging Thinking-Answer Gap in Multimodal RLVR via Consistency-Oriented Reasoning Alignment</t>
        </is>
      </c>
      <c r="B34" s="5" t="inlineStr">
        <is>
          <t>Jiayue Cao, Zhicong Lu, Xuehan Sun, Wei Jia, Hongling Zheng, Changyuan Tian, Zichuan Lin, Wenqian Lv, Nayu Liu</t>
        </is>
      </c>
      <c r="C34" s="5" t="inlineStr">
        <is>
          <t>arXiv 2026</t>
        </is>
      </c>
      <c r="D34" s="5" t="inlineStr"/>
      <c r="E34" s="5" t="n">
        <v>4</v>
      </c>
      <c r="F34" s="5" t="inlineStr">
        <is>
          <t>CORA通过一致性奖励模型将思维-答案语义一致性引入RLVR，缓解推理与答案脱节</t>
        </is>
      </c>
      <c r="G34" s="5" t="inlineStr">
        <is>
          <t>https://arxiv.org/abs/2606.14691</t>
        </is>
      </c>
    </row>
    <row r="35">
      <c r="A35" s="4" t="inlineStr">
        <is>
          <t>Persona-Pruner: Sculpting Lightweight Models for Role-Playing</t>
        </is>
      </c>
      <c r="B35" s="5" t="inlineStr">
        <is>
          <t>Jinsu Kim, Jihoon Tack, Noah Lee, Jongheon Jeong</t>
        </is>
      </c>
      <c r="C35" s="5" t="inlineStr">
        <is>
          <t>ICML 2026</t>
        </is>
      </c>
      <c r="D35" s="5" t="inlineStr"/>
      <c r="E35" s="5" t="n">
        <v>4</v>
      </c>
      <c r="F35" s="5" t="inlineStr">
        <is>
          <t>从单一角色描述中雕刻轻量级角色专属模型，识别并隔离角色对应子网络</t>
        </is>
      </c>
      <c r="G35" s="5" t="inlineStr">
        <is>
          <t>https://arxiv.org/abs/2606.14695</t>
        </is>
      </c>
    </row>
    <row r="36">
      <c r="A36" s="4" t="inlineStr">
        <is>
          <t>Instruct-Particulate: Scaling Feed-Forward 3D Object Articulation with Kinematic Control</t>
        </is>
      </c>
      <c r="B36" s="5" t="inlineStr">
        <is>
          <t>Ruining Li, Yuxin Yao, Matt Zhou, Chuanxia Zheng, Christian Rupprecht, Joan Lasenby, Shangzhe Wu, Andrea Vedaldi</t>
        </is>
      </c>
      <c r="C36" s="5" t="inlineStr">
        <is>
          <t>arXiv 2026</t>
        </is>
      </c>
      <c r="D36" s="5" t="inlineStr"/>
      <c r="E36" s="5" t="n">
        <v>4</v>
      </c>
      <c r="F36" s="5" t="inlineStr">
        <is>
          <t>前馈运动学控制实现3D物体关节结构自动推断与建模，单次前向传播预测可驱动关节对象</t>
        </is>
      </c>
      <c r="G36" s="5" t="inlineStr">
        <is>
          <t>https://arxiv.org/abs/2606.14699</t>
        </is>
      </c>
    </row>
    <row r="37">
      <c r="A37" s="4" t="inlineStr">
        <is>
          <t>Marginal Advantage Accumulation for Memory-Driven Agent Self-Evolution</t>
        </is>
      </c>
      <c r="B37" s="5" t="inlineStr">
        <is>
          <t>Mingyu Yang, Keye Zheng, Congchao Cheng 等</t>
        </is>
      </c>
      <c r="C37" s="5" t="inlineStr">
        <is>
          <t>arXiv 2026</t>
        </is>
      </c>
      <c r="D37" s="5" t="inlineStr"/>
      <c r="E37" s="5" t="n">
        <v>4</v>
      </c>
      <c r="F37" s="5" t="inlineStr">
        <is>
          <t>提出边缘优势累积机制，使Agent能够基于记忆驱动实现自我进化</t>
        </is>
      </c>
      <c r="G37" s="5" t="inlineStr">
        <is>
          <t>https://arxiv.org/abs/2606.20475</t>
        </is>
      </c>
    </row>
    <row r="38">
      <c r="A38" s="4" t="inlineStr">
        <is>
          <t>Contagion Networks: Evaluator Bias Propagation in Multi-Agent LLM Systems</t>
        </is>
      </c>
      <c r="B38" s="5" t="inlineStr">
        <is>
          <t>Zewen Liu 等</t>
        </is>
      </c>
      <c r="C38" s="5" t="inlineStr">
        <is>
          <t>arXiv 2026</t>
        </is>
      </c>
      <c r="D38" s="5" t="inlineStr"/>
      <c r="E38" s="5" t="n">
        <v>3</v>
      </c>
      <c r="F38" s="5" t="inlineStr">
        <is>
          <t>揭示多智能体LLM系统中评估者偏见的传播网络</t>
        </is>
      </c>
      <c r="G38" s="5" t="inlineStr">
        <is>
          <t>https://arxiv.org/abs/2606.20493</t>
        </is>
      </c>
    </row>
    <row r="39">
      <c r="A39" s="4" t="inlineStr">
        <is>
          <t>Beyond Global Replanning: Hierarchical Recovery for Cross-Device Agent Systems</t>
        </is>
      </c>
      <c r="B39" s="5" t="inlineStr">
        <is>
          <t>Yao 等</t>
        </is>
      </c>
      <c r="C39" s="5" t="inlineStr">
        <is>
          <t>arXiv 2026</t>
        </is>
      </c>
      <c r="D39" s="5" t="inlineStr"/>
      <c r="E39" s="5" t="n">
        <v>4</v>
      </c>
      <c r="F39" s="5" t="inlineStr">
        <is>
          <t>针对跨设备Agent系统提出层次化恢复机制，提升复杂任务容错性</t>
        </is>
      </c>
      <c r="G39" s="5" t="inlineStr">
        <is>
          <t>https://arxiv.org/abs/2606.20487</t>
        </is>
      </c>
    </row>
    <row r="40">
      <c r="A40" s="4" t="inlineStr">
        <is>
          <t>Your Mouse and Eyes Secretly Leak Your Preference: LLM Alignment using Implicit Feedback from Users</t>
        </is>
      </c>
      <c r="B40" s="5" t="inlineStr">
        <is>
          <t>Chang 等</t>
        </is>
      </c>
      <c r="C40" s="5" t="inlineStr">
        <is>
          <t>arXiv 2026</t>
        </is>
      </c>
      <c r="D40" s="5" t="inlineStr"/>
      <c r="E40" s="5" t="n">
        <v>4</v>
      </c>
      <c r="F40" s="5" t="inlineStr">
        <is>
          <t>利用鼠标移动和眼动等隐式反馈进行LLM对齐</t>
        </is>
      </c>
      <c r="G40" s="5" t="inlineStr">
        <is>
          <t>https://arxiv.org/abs/2606.20482</t>
        </is>
      </c>
    </row>
    <row r="41">
      <c r="A41" s="4" t="inlineStr">
        <is>
          <t>StylisticBias: A Few Human Visual Cues Drive Most Social Biases in MLLMs</t>
        </is>
      </c>
      <c r="B41" s="5" t="inlineStr">
        <is>
          <t>Kolli 等</t>
        </is>
      </c>
      <c r="C41" s="5" t="inlineStr">
        <is>
          <t>arXiv 2026</t>
        </is>
      </c>
      <c r="D41" s="5" t="inlineStr"/>
      <c r="E41" s="5" t="n">
        <v>3</v>
      </c>
      <c r="F41" s="5" t="inlineStr">
        <is>
          <t>发现少数人类视觉线索驱动了多模态大模型中的大部分社会偏见</t>
        </is>
      </c>
      <c r="G41" s="5" t="inlineStr">
        <is>
          <t>https://arxiv.org/abs/2606.20527</t>
        </is>
      </c>
    </row>
    <row r="42">
      <c r="A42" s="4" t="inlineStr">
        <is>
          <t>Toward Calibrated Mixture-of-Experts Under Distribution Shift</t>
        </is>
      </c>
      <c r="B42" s="5" t="inlineStr">
        <is>
          <t>Gina Wong, Drew Prinster, Suchi Saria, Rama Chellappa, Anqi Liu</t>
        </is>
      </c>
      <c r="C42" s="5" t="inlineStr">
        <is>
          <t>arXiv 2026</t>
        </is>
      </c>
      <c r="D42" s="5" t="inlineStr"/>
      <c r="E42" s="5" t="n">
        <v>3</v>
      </c>
      <c r="F42" s="5" t="inlineStr">
        <is>
          <t>研究分布偏移下MoE模型的校准问题</t>
        </is>
      </c>
      <c r="G42" s="5" t="inlineStr">
        <is>
          <t>https://arxiv.org/abs/2606.20544</t>
        </is>
      </c>
    </row>
    <row r="43">
      <c r="A43" s="4" t="inlineStr">
        <is>
          <t>The Token Is a Group Element: On Lie-Algebra Attention over Matrix Lie Groups</t>
        </is>
      </c>
      <c r="B43" s="5" t="inlineStr">
        <is>
          <t>Przemyslaw Musialski 等</t>
        </is>
      </c>
      <c r="C43" s="5" t="inlineStr">
        <is>
          <t>arXiv 2026</t>
        </is>
      </c>
      <c r="D43" s="5" t="inlineStr"/>
      <c r="E43" s="5" t="n">
        <v>2</v>
      </c>
      <c r="F43" s="5" t="inlineStr">
        <is>
          <t>将李群与李代数引入注意力机制</t>
        </is>
      </c>
      <c r="G43" s="5" t="inlineStr">
        <is>
          <t>https://arxiv.org/abs/2606.20547</t>
        </is>
      </c>
    </row>
    <row r="44">
      <c r="A44" s="4" t="inlineStr">
        <is>
          <t>How Transparent is DiffusionGemma?</t>
        </is>
      </c>
      <c r="B44" s="5" t="inlineStr">
        <is>
          <t>Joshua Engels</t>
        </is>
      </c>
      <c r="C44" s="5" t="inlineStr">
        <is>
          <t>arXiv 2026</t>
        </is>
      </c>
      <c r="D44" s="5" t="inlineStr"/>
      <c r="E44" s="5" t="n">
        <v>2</v>
      </c>
      <c r="F44" s="5" t="inlineStr">
        <is>
          <t>评估Google DiffusionGemma文本到图像模型的透明性与可解释性</t>
        </is>
      </c>
      <c r="G44" s="5" t="inlineStr">
        <is>
          <t>https://arxiv.org/abs/2606.20560</t>
        </is>
      </c>
    </row>
    <row r="45">
      <c r="A45" s="4" t="inlineStr">
        <is>
          <t>Open Problem: Is AdamW Effective Under Heavy-Tailed Noise?</t>
        </is>
      </c>
      <c r="B45" s="5" t="inlineStr">
        <is>
          <t>Dingzhi Yu, Hongyi Tao, Yuanyu Wan, Luo Luo, Lijun Zhang</t>
        </is>
      </c>
      <c r="C45" s="5" t="inlineStr">
        <is>
          <t>arXiv 2026</t>
        </is>
      </c>
      <c r="D45" s="5" t="inlineStr"/>
      <c r="E45" s="5" t="n">
        <v>2</v>
      </c>
      <c r="F45" s="5" t="inlineStr">
        <is>
          <t>针对AdamW优化器在重尾噪声下的有效性提出开放问题，建立了加权度量基准，解释了分母存储器如何影响大梯度的表现</t>
        </is>
      </c>
      <c r="G45" s="5" t="inlineStr">
        <is>
          <t>https://arxiv.org/abs/2606.23676</t>
        </is>
      </c>
    </row>
    <row r="46">
      <c r="A46" s="4" t="inlineStr">
        <is>
          <t>Tapered Language Models</t>
        </is>
      </c>
      <c r="B46" s="5" t="inlineStr">
        <is>
          <t>Reza Bayat, Ali Behrouz, Aaron Courville</t>
        </is>
      </c>
      <c r="C46" s="5" t="inlineStr">
        <is>
          <t>arXiv 2026</t>
        </is>
      </c>
      <c r="D46" s="5" t="inlineStr"/>
      <c r="E46" s="5" t="n">
        <v>3</v>
      </c>
      <c r="F46" s="5" t="inlineStr">
        <is>
          <t>提出锥形语言模型架构，探索模型参数分布新范式</t>
        </is>
      </c>
      <c r="G46" s="5" t="inlineStr">
        <is>
          <t>https://arxiv.org/abs/2606.23670</t>
        </is>
      </c>
    </row>
    <row r="47">
      <c r="A47" s="4" t="inlineStr">
        <is>
          <t>MAS-PromptBench: When Does Prompt Optimization Improve Multi-Agent LLM Systems?</t>
        </is>
      </c>
      <c r="B47" s="5" t="inlineStr">
        <is>
          <t>Juyang Bai, Laixi Shi</t>
        </is>
      </c>
      <c r="C47" s="5" t="inlineStr">
        <is>
          <t>arXiv 2026</t>
        </is>
      </c>
      <c r="D47" s="5" t="inlineStr"/>
      <c r="E47" s="5" t="n">
        <v>3</v>
      </c>
      <c r="F47" s="5" t="inlineStr">
        <is>
          <t>系统评估多智能体LLM系统中提示优化的效果，揭示优化在不同工作流和团队规模下的收益与搜索空间挑战</t>
        </is>
      </c>
      <c r="G47" s="5" t="inlineStr">
        <is>
          <t>https://arxiv.org/abs/2606.23664</t>
        </is>
      </c>
    </row>
    <row r="48">
      <c r="A48" s="4" t="inlineStr">
        <is>
          <t>Learning Process Rewards via Success Visitation Matching for Efficient RL</t>
        </is>
      </c>
      <c r="B48" s="5" t="inlineStr">
        <is>
          <t>Raymond Tsao, Andrew Wagenmaker, Sergey Levine</t>
        </is>
      </c>
      <c r="C48" s="5" t="inlineStr">
        <is>
          <t>arXiv 2026</t>
        </is>
      </c>
      <c r="D48" s="5" t="inlineStr"/>
      <c r="E48" s="5" t="n">
        <v>4</v>
      </c>
      <c r="F48" s="5" t="inlineStr">
        <is>
          <t>通过成功访问匹配学习过程奖励，提升强化学习效率</t>
        </is>
      </c>
      <c r="G48" s="5" t="inlineStr">
        <is>
          <t>https://arxiv.org/abs/2606.23640</t>
        </is>
      </c>
    </row>
    <row r="49">
      <c r="A49" s="4" t="inlineStr">
        <is>
          <t>DiT-Reward: Generative Representations for Text-to-Image Reward Modeling</t>
        </is>
      </c>
      <c r="B49" s="5" t="inlineStr">
        <is>
          <t>Yuanming Yang, Guoqing Ma, Bo Wang 等</t>
        </is>
      </c>
      <c r="C49" s="5" t="inlineStr">
        <is>
          <t>arXiv 2026</t>
        </is>
      </c>
      <c r="D49" s="5" t="inlineStr"/>
      <c r="E49" s="5" t="n">
        <v>4</v>
      </c>
      <c r="F49" s="5" t="inlineStr">
        <is>
          <t>利用预训练扩散模型进行文本到图像奖励建模，性能超越HPSv3，推理速度提升1.65倍</t>
        </is>
      </c>
      <c r="G49" s="5" t="inlineStr">
        <is>
          <t>https://arxiv.org/abs/2606.23626</t>
        </is>
      </c>
    </row>
    <row r="50">
      <c r="A50" s="4" t="inlineStr">
        <is>
          <t>Scaling Linear Mode Connectivity and Merging to Billion Parameter Pretrained Transformers</t>
        </is>
      </c>
      <c r="B50" s="5" t="inlineStr">
        <is>
          <t>Tianyi Li, Zhiqiang Shen</t>
        </is>
      </c>
      <c r="C50" s="5" t="inlineStr">
        <is>
          <t>arXiv 2026</t>
        </is>
      </c>
      <c r="D50" s="5" t="inlineStr"/>
      <c r="E50" s="5" t="n">
        <v>4</v>
      </c>
      <c r="F50" s="5" t="inlineStr">
        <is>
          <t>将线性模式连接和模型合并扩展至十亿参数级预训练Transformer</t>
        </is>
      </c>
      <c r="G50" s="5" t="inlineStr">
        <is>
          <t>https://arxiv.org/abs/2606.23607</t>
        </is>
      </c>
    </row>
    <row r="51">
      <c r="A51" s="4" t="inlineStr">
        <is>
          <t>LLM-as-Code: Agentic Programming for Agent Harness</t>
        </is>
      </c>
      <c r="B51" s="5" t="inlineStr">
        <is>
          <t>Junjia Qi, Zichuan Fu, Jingtong Gao 等</t>
        </is>
      </c>
      <c r="C51" s="5" t="inlineStr">
        <is>
          <t>arXiv 2026</t>
        </is>
      </c>
      <c r="D51" s="5" t="inlineStr"/>
      <c r="E51" s="5" t="n">
        <v>5</v>
      </c>
      <c r="F51" s="5" t="inlineStr">
        <is>
          <t>提出Agentic Programming范式，由程序掌控控制流、LLM作为代码组件被调用，DAG结构化上下文，在OSWorld上15步达成86.8%成功率</t>
        </is>
      </c>
      <c r="G51" s="5" t="inlineStr">
        <is>
          <t>https://arxiv.org/abs/2606.15874</t>
        </is>
      </c>
    </row>
    <row r="52">
      <c r="A52" s="4" t="inlineStr">
        <is>
          <t>On the Limits of Prompt-Conditioned Language Models as General-Purpose Learners</t>
        </is>
      </c>
      <c r="B52" s="5" t="inlineStr">
        <is>
          <t>David Mguni, Julian Ma, Jun Wang</t>
        </is>
      </c>
      <c r="C52" s="5" t="inlineStr">
        <is>
          <t>arXiv 2026</t>
        </is>
      </c>
      <c r="D52" s="5" t="inlineStr"/>
      <c r="E52" s="5" t="n">
        <v>3</v>
      </c>
      <c r="F52" s="5" t="inlineStr">
        <is>
          <t>揭示提示条件化语言模型作为通用学习者的能力极限</t>
        </is>
      </c>
      <c r="G52" s="5" t="inlineStr">
        <is>
          <t>https://arxiv.org/abs/2606.23668</t>
        </is>
      </c>
    </row>
    <row r="53">
      <c r="A53" s="4" t="inlineStr">
        <is>
          <t>OpenThoughts-Agent: Data Recipes for Agentic Models</t>
        </is>
      </c>
      <c r="B53" s="5" t="inlineStr">
        <is>
          <t>Negin Raoof, Richard Zhuang, Marianna Nezhurina 等</t>
        </is>
      </c>
      <c r="C53" s="5" t="inlineStr">
        <is>
          <t>arXiv 2026</t>
        </is>
      </c>
      <c r="D53" s="5" t="inlineStr"/>
      <c r="E53" s="5" t="n">
        <v>4</v>
      </c>
      <c r="F53" s="5" t="inlineStr">
        <is>
          <t>构建开放智能体训练数据流水线，通过系统性实验筛选高质量样本，微调后模型在44.8%平均准确率上超越现有开放基线，全部资源公开</t>
        </is>
      </c>
      <c r="G53" s="5" t="inlineStr">
        <is>
          <t>https://arxiv.org/abs/2606.24855</t>
        </is>
      </c>
    </row>
    <row r="54">
      <c r="A54" s="4" t="inlineStr">
        <is>
          <t>World Models in Pieces: Structural Certification for General Agents</t>
        </is>
      </c>
      <c r="B54" s="5" t="inlineStr">
        <is>
          <t>Yikai Lu, Yifei Wu, Xinyu Lu, Tongxin Li</t>
        </is>
      </c>
      <c r="C54" s="5" t="inlineStr">
        <is>
          <t>arXiv 2026</t>
        </is>
      </c>
      <c r="D54" s="5" t="inlineStr"/>
      <c r="E54" s="5" t="n">
        <v>3</v>
      </c>
      <c r="F54" s="5" t="inlineStr">
        <is>
          <t>针对通用代理能力非普适性提出结构认证框架，通过过滤特定转换并证明误差界，实现长程规划的可靠性验证</t>
        </is>
      </c>
      <c r="G54" s="5" t="inlineStr">
        <is>
          <t>https://arxiv.org/abs/2606.24842</t>
        </is>
      </c>
    </row>
    <row r="55">
      <c r="A55" s="4" t="inlineStr">
        <is>
          <t>Can Scale Save Us From Plasticity Loss in Large Language Models?</t>
        </is>
      </c>
      <c r="B55" s="5" t="inlineStr">
        <is>
          <t>J. Fernando Hernandez-Garcia, Tomás Figliolia, Beren Millidge</t>
        </is>
      </c>
      <c r="C55" s="5" t="inlineStr">
        <is>
          <t>arXiv 2026</t>
        </is>
      </c>
      <c r="D55" s="5" t="inlineStr"/>
      <c r="E55" s="5" t="n">
        <v>3</v>
      </c>
      <c r="F55" s="5" t="inlineStr">
        <is>
          <t>评估大模型可塑性丧失问题，发现扩大规模只能延缓不能根除适应力衰退，在固定训练语料下同样存在</t>
        </is>
      </c>
      <c r="G55" s="5" t="inlineStr">
        <is>
          <t>https://arxiv.org/abs/2606.24752</t>
        </is>
      </c>
    </row>
    <row r="56">
      <c r="A56" s="4" t="inlineStr">
        <is>
          <t>Grading the Grader: Lessons from Evaluating an Agentic Data Analysis System</t>
        </is>
      </c>
      <c r="B56" s="5" t="inlineStr">
        <is>
          <t>Zheng, Hsu</t>
        </is>
      </c>
      <c r="C56" s="5" t="inlineStr">
        <is>
          <t>arXiv 2026</t>
        </is>
      </c>
      <c r="D56" s="5" t="inlineStr"/>
      <c r="E56" s="5" t="n">
        <v>3</v>
      </c>
      <c r="F56" s="5" t="inlineStr">
        <is>
          <t>评估Agentic数据分析系统的经验教训，揭示自动评估器本身的可靠性问题</t>
        </is>
      </c>
      <c r="G56" s="5" t="inlineStr">
        <is>
          <t>https://arxiv.org/abs/2606.24839</t>
        </is>
      </c>
    </row>
    <row r="57">
      <c r="A57" s="4" t="inlineStr">
        <is>
          <t>Accuracy and Satisfaction in Multi-Turn LLM Dialogues for NFR Assessment</t>
        </is>
      </c>
      <c r="B57" s="5" t="inlineStr">
        <is>
          <t>Fatideh, Baldwin, Dhakal, McMillan, Ghanavati</t>
        </is>
      </c>
      <c r="C57" s="5" t="inlineStr">
        <is>
          <t>arXiv 2026</t>
        </is>
      </c>
      <c r="D57" s="5" t="inlineStr"/>
      <c r="E57" s="5" t="n">
        <v>3</v>
      </c>
      <c r="F57" s="5" t="inlineStr">
        <is>
          <t>评估多轮LLM对话在非功能需求评估中的准确性和用户满意度</t>
        </is>
      </c>
      <c r="G57" s="5" t="inlineStr">
        <is>
          <t>https://arxiv.org/abs/2606.24834</t>
        </is>
      </c>
    </row>
    <row r="58">
      <c r="A58" s="4" t="inlineStr">
        <is>
          <t>BluTrain: A C++/CUDA Framework for AI Systems</t>
        </is>
      </c>
      <c r="B58" s="5" t="inlineStr">
        <is>
          <t>Charan, Suresh, Kumar 等</t>
        </is>
      </c>
      <c r="C58" s="5" t="inlineStr">
        <is>
          <t>arXiv 2026</t>
        </is>
      </c>
      <c r="D58" s="5" t="inlineStr"/>
      <c r="E58" s="5" t="n">
        <v>4</v>
      </c>
      <c r="F58" s="5" t="inlineStr">
        <is>
          <t>C++/CUDA高性能AI训练框架，优化GPU利用率</t>
        </is>
      </c>
      <c r="G58" s="5" t="inlineStr">
        <is>
          <t>https://arxiv.org/abs/2606.24780</t>
        </is>
      </c>
    </row>
    <row r="59">
      <c r="A59" s="4" t="inlineStr">
        <is>
          <t>Matching Tasks to Objectives: Fine-Tuning and Prompt-Tuning Strategies for Encoder-Decoder PLMs</t>
        </is>
      </c>
      <c r="B59" s="5" t="inlineStr">
        <is>
          <t>Pouramini, Faili</t>
        </is>
      </c>
      <c r="C59" s="5" t="inlineStr">
        <is>
          <t>arXiv 2026</t>
        </is>
      </c>
      <c r="D59" s="5" t="inlineStr"/>
      <c r="E59" s="5" t="n">
        <v>3</v>
      </c>
      <c r="F59" s="5" t="inlineStr">
        <is>
          <t>系统评估编码器-解码器预训练语言模型的微调与提示微调策略匹配</t>
        </is>
      </c>
      <c r="G59" s="5" t="inlineStr">
        <is>
          <t>https://arxiv.org/abs/2606.24841</t>
        </is>
      </c>
    </row>
    <row r="60">
      <c r="A60" s="4" t="inlineStr">
        <is>
          <t>Solving Inverse Problems of Chaotic Systems with Bidirectional Conditional Flow Matching</t>
        </is>
      </c>
      <c r="B60" s="5" t="inlineStr">
        <is>
          <t>Hu, Zhang, Pan, Feng, Zhang, Ma, Ting, Li, Wu</t>
        </is>
      </c>
      <c r="C60" s="5" t="inlineStr">
        <is>
          <t>arXiv 2026</t>
        </is>
      </c>
      <c r="D60" s="5" t="inlineStr"/>
      <c r="E60" s="5" t="n">
        <v>2</v>
      </c>
      <c r="F60" s="5" t="inlineStr">
        <is>
          <t>双向条件流匹配解决混沌系统逆问题</t>
        </is>
      </c>
      <c r="G60" s="5" t="inlineStr">
        <is>
          <t>https://arxiv.org/abs/2606.24824</t>
        </is>
      </c>
    </row>
    <row r="61">
      <c r="A61" s="4" t="inlineStr">
        <is>
          <t>Grad Detect: Gradient-Based Hallucination Detection in LLMs</t>
        </is>
      </c>
      <c r="B61" s="5" t="inlineStr">
        <is>
          <t>Anand Kamat, Daniel Blake, Brent M. Werness</t>
        </is>
      </c>
      <c r="C61" s="5" t="inlineStr">
        <is>
          <t>arXiv 2026</t>
        </is>
      </c>
      <c r="D61" s="5" t="inlineStr"/>
      <c r="E61" s="5" t="n">
        <v>7</v>
      </c>
      <c r="F61" s="5" t="inlineStr">
        <is>
          <t>提出基于梯度的方法识别大语言模型中的幻觉内容</t>
        </is>
      </c>
      <c r="G61" s="5" t="inlineStr">
        <is>
          <t>https://arxiv.org/abs/2606.24790</t>
        </is>
      </c>
    </row>
    <row r="62">
      <c r="A62" s="4" t="inlineStr">
        <is>
          <t>FlowPipe: LLM-Enhanced Conditional Generative Flow Networks for Data Preparation Pipeline Construction</t>
        </is>
      </c>
      <c r="B62" s="5" t="inlineStr">
        <is>
          <t>Kunyu Ni, Lei Cao, Jie He, Xiaotong Zhang, Jianfeng Jin, Junyu Dong, Yanwei Yu</t>
        </is>
      </c>
      <c r="C62" s="5" t="inlineStr">
        <is>
          <t>arXiv 2026</t>
        </is>
      </c>
      <c r="D62" s="5" t="inlineStr"/>
      <c r="E62" s="5" t="n">
        <v>6</v>
      </c>
      <c r="F62" s="5" t="inlineStr">
        <is>
          <t>利用LLM增强的条件生成流网络自动化构建数据准备流水线</t>
        </is>
      </c>
      <c r="G62" s="5" t="inlineStr">
        <is>
          <t>https://arxiv.org/abs/2606.24679</t>
        </is>
      </c>
    </row>
    <row r="63">
      <c r="A63" s="4" t="inlineStr">
        <is>
          <t>Reasoning as Attractor Dynamics: Latent Memory Retrieval via Gibbs-Weighted Energy Minimization</t>
        </is>
      </c>
      <c r="B63" s="5" t="inlineStr">
        <is>
          <t>Kanishk Awadhiya</t>
        </is>
      </c>
      <c r="C63" s="5" t="inlineStr">
        <is>
          <t>arXiv 2026</t>
        </is>
      </c>
      <c r="D63" s="5" t="inlineStr"/>
      <c r="E63" s="5" t="n">
        <v>4</v>
      </c>
      <c r="F63" s="5" t="inlineStr">
        <is>
          <t>将推理过程建模为吸引子动力学，通过Gibbs加权能量最小化实现潜在记忆检索</t>
        </is>
      </c>
      <c r="G63" s="5" t="inlineStr">
        <is>
          <t>https://arxiv.org/abs/2606.24543</t>
        </is>
      </c>
    </row>
    <row r="64">
      <c r="A64" s="4" t="inlineStr">
        <is>
          <t>Data Augmentation: A Fourier Analysis Perspective</t>
        </is>
      </c>
      <c r="B64" s="5" t="inlineStr">
        <is>
          <t>Behrooz Tahmasebi, Melanie Weber, Stefanie Jegelka</t>
        </is>
      </c>
      <c r="C64" s="5" t="inlineStr">
        <is>
          <t>arXiv 2026</t>
        </is>
      </c>
      <c r="D64" s="5" t="inlineStr"/>
      <c r="E64" s="5" t="n">
        <v>5</v>
      </c>
      <c r="F64" s="5" t="inlineStr">
        <is>
          <t>从傅里叶分析视角重新审视数据增强方法的理论机制</t>
        </is>
      </c>
      <c r="G64" s="5" t="inlineStr">
        <is>
          <t>https://arxiv.org/abs/2606.24418</t>
        </is>
      </c>
    </row>
    <row r="65">
      <c r="A65" s="4" t="inlineStr">
        <is>
          <t>A Fair Evaluation of Graph Foundation Models for Node Property Prediction</t>
        </is>
      </c>
      <c r="B65" s="5" t="inlineStr">
        <is>
          <t>Oleg Platonov, Gleb Bazhenov, Dmitry Eremeev, Liudmila Prokhorenkova</t>
        </is>
      </c>
      <c r="C65" s="5" t="inlineStr">
        <is>
          <t>arXiv 2026</t>
        </is>
      </c>
      <c r="D65" s="5" t="inlineStr"/>
      <c r="E65" s="5" t="n">
        <v>5</v>
      </c>
      <c r="F65" s="5" t="inlineStr">
        <is>
          <t>为图基础模型在节点属性预测任务上提供公平评估框架</t>
        </is>
      </c>
      <c r="G65" s="5" t="inlineStr">
        <is>
          <t>https://arxiv.org/abs/2606.24509</t>
        </is>
      </c>
    </row>
    <row r="66">
      <c r="A66" s="4" t="inlineStr">
        <is>
          <t>DiffusionBench: On Holistic Evaluation of Diffusion Transformers</t>
        </is>
      </c>
      <c r="B66" s="5" t="inlineStr">
        <is>
          <t>Xingjian Leng, Jaskirat Singh</t>
        </is>
      </c>
      <c r="C66" s="5" t="inlineStr">
        <is>
          <t>arXiv 2026</t>
        </is>
      </c>
      <c r="D66" s="5" t="inlineStr"/>
      <c r="E66" s="5" t="n">
        <v>6</v>
      </c>
      <c r="F66" s="5" t="inlineStr">
        <is>
          <t>提出扩散Transformer的综合评估框架</t>
        </is>
      </c>
      <c r="G66" s="5" t="inlineStr">
        <is>
          <t>https://arxiv.org/abs/2606.24888</t>
        </is>
      </c>
    </row>
    <row r="67">
      <c r="A67" s="4" t="inlineStr">
        <is>
          <t>FLUX3D: High-Fidelity 3D Gaussian Generation with Diffusion-Aligned Sparse Representation</t>
        </is>
      </c>
      <c r="B67" s="5" t="inlineStr">
        <is>
          <t>Haorui Ji, Weizhe Liu</t>
        </is>
      </c>
      <c r="C67" s="5" t="inlineStr">
        <is>
          <t>arXiv 2026</t>
        </is>
      </c>
      <c r="D67" s="5" t="inlineStr"/>
      <c r="E67" s="5" t="n">
        <v>7</v>
      </c>
      <c r="F67" s="5" t="inlineStr">
        <is>
          <t>通过扩散对齐的稀疏表示实现高保真3D高斯生成</t>
        </is>
      </c>
      <c r="G67" s="5" t="inlineStr">
        <is>
          <t>https://arxiv.org/abs/2606.24874</t>
        </is>
      </c>
    </row>
    <row r="68">
      <c r="A68" s="4" t="inlineStr">
        <is>
          <t>IV-CoT: Implicit Visual Chain-of-Thought for Structure-Aware Text-to-Image Generation</t>
        </is>
      </c>
      <c r="B68" s="5" t="inlineStr">
        <is>
          <t>Zixuan Li, Haokun Lin</t>
        </is>
      </c>
      <c r="C68" s="5" t="inlineStr">
        <is>
          <t>arXiv 2026</t>
        </is>
      </c>
      <c r="D68" s="5" t="inlineStr"/>
      <c r="E68" s="5" t="n">
        <v>6</v>
      </c>
      <c r="F68" s="5" t="inlineStr">
        <is>
          <t>将隐式视觉思维链引入结构感知的文本到图像生成</t>
        </is>
      </c>
      <c r="G68" s="5" t="inlineStr">
        <is>
          <t>https://arxiv.org/abs/2606.24849</t>
        </is>
      </c>
    </row>
    <row r="69">
      <c r="A69" s="4" t="inlineStr">
        <is>
          <t>SHERLOC: Structured Diagnostic Localization for Code Repair Agents</t>
        </is>
      </c>
      <c r="B69" s="5" t="inlineStr">
        <is>
          <t>Hovhannes Tamoyan</t>
        </is>
      </c>
      <c r="C69" s="5" t="inlineStr">
        <is>
          <t>arXiv 2026</t>
        </is>
      </c>
      <c r="D69" s="5" t="inlineStr"/>
      <c r="E69" s="5" t="n">
        <v>8</v>
      </c>
      <c r="F69" s="5" t="inlineStr">
        <is>
          <t>为代码修复智能体开发结构化诊断定位方法</t>
        </is>
      </c>
      <c r="G69" s="5" t="inlineStr">
        <is>
          <t>https://arxiv.org/abs/2606.24820</t>
        </is>
      </c>
    </row>
    <row r="70">
      <c r="A70" s="4" t="inlineStr">
        <is>
          <t>Are We Ready For An Agent-Native Memory System?</t>
        </is>
      </c>
      <c r="B70" s="5" t="inlineStr">
        <is>
          <t>Wei Zhou</t>
        </is>
      </c>
      <c r="C70" s="5" t="inlineStr">
        <is>
          <t>arXiv 2026</t>
        </is>
      </c>
      <c r="D70" s="5" t="inlineStr"/>
      <c r="E70" s="5" t="n">
        <v>7</v>
      </c>
      <c r="F70" s="5" t="inlineStr">
        <is>
          <t>评估支撑自主智能体持久化记忆的基础设施就绪度</t>
        </is>
      </c>
      <c r="G70" s="5" t="inlineStr">
        <is>
          <t>https://arxiv.org/abs/2606.24775</t>
        </is>
      </c>
    </row>
    <row r="71">
      <c r="A71" s="4" t="inlineStr">
        <is>
          <t>Scaling LLM Reasoning from Minimal Labels: A Semi-Supervised Framework with a Lightweight Verifier</t>
        </is>
      </c>
      <c r="B71" s="5" t="inlineStr">
        <is>
          <t>Keizo Kato, Chenhui Chu, Yugo Murawaki, Sado Kurohashi</t>
        </is>
      </c>
      <c r="C71" s="5" t="inlineStr">
        <is>
          <t>arXiv 2026</t>
        </is>
      </c>
      <c r="D71" s="5" t="inlineStr"/>
      <c r="E71" s="5" t="n">
        <v>8</v>
      </c>
      <c r="F71" s="5" t="inlineStr">
        <is>
          <t>提出半监督推理训练框架，将验证推理是否正确本身变成数据生成机制，用极少标注数据扩展LLM推理能力</t>
        </is>
      </c>
      <c r="G71" s="5" t="inlineStr">
        <is>
          <t>https://arxiv.org/abs/2606.16811</t>
        </is>
      </c>
    </row>
    <row r="72">
      <c r="A72" s="4" t="inlineStr">
        <is>
          <t>Neglected Free Lunch from Post-training: Progress Advantage for LLM Agents</t>
        </is>
      </c>
      <c r="B72" s="5" t="inlineStr">
        <is>
          <t>Changdae Oh, Wendi Li, Seongheon Park, Samuel Yeh, Tanwi Mallick, Sharon Li</t>
        </is>
      </c>
      <c r="C72" s="5" t="inlineStr">
        <is>
          <t>arXiv 2026</t>
        </is>
      </c>
      <c r="D72" s="5" t="inlineStr"/>
      <c r="E72" s="5" t="n">
        <v>7</v>
      </c>
      <c r="F72" s="5" t="inlineStr">
        <is>
          <t>发现RL后训练过程中策略与参考策略的对数概率比可直接导出最优优势函数，无需单独训练过程奖励模型即可提升LLM Agent表现</t>
        </is>
      </c>
      <c r="G72" s="5" t="inlineStr">
        <is>
          <t>https://arxiv.org/abs/2606.26080</t>
        </is>
      </c>
    </row>
    <row r="73">
      <c r="A73" s="4" t="inlineStr">
        <is>
          <t>TryOnCrafter: Unleashing Camera Trajectories for Realistic Video Virtual Try-on via a Renderable 4D Try-on Proxy</t>
        </is>
      </c>
      <c r="B73" s="5" t="inlineStr">
        <is>
          <t>Hao Sun, Hao Yan, Mengting Chen, Quanjian Song, Yu Li, Juan Cao, Jinsong Lan, Xiaoyong Zhu, Bo Zheng, Sheng Tang</t>
        </is>
      </c>
      <c r="C73" s="5" t="inlineStr">
        <is>
          <t>arXiv 2026</t>
        </is>
      </c>
      <c r="D73" s="5" t="inlineStr"/>
      <c r="E73" s="5" t="n">
        <v>9</v>
      </c>
      <c r="F73" s="5" t="inlineStr">
        <is>
          <t>提出首个面向相机可控视频虚拟试衣的统一DiT框架，通过可渲染4D试衣代理实现任意相机轨迹下的真实感试衣视频生成</t>
        </is>
      </c>
      <c r="G73" s="5" t="inlineStr">
        <is>
          <t>https://arxiv.org/abs/2606.26092</t>
        </is>
      </c>
    </row>
    <row r="74">
      <c r="A74" s="4" t="inlineStr">
        <is>
          <t>Real-Time Voice AI Hears but Does Not Listen</t>
        </is>
      </c>
      <c r="B74" s="5" t="inlineStr">
        <is>
          <t>Martijn Bartelds, Federico Bianchi, James Zou</t>
        </is>
      </c>
      <c r="C74" s="5" t="inlineStr">
        <is>
          <t>arXiv 2026</t>
        </is>
      </c>
      <c r="D74" s="5" t="inlineStr"/>
      <c r="E74" s="5" t="n">
        <v>6</v>
      </c>
      <c r="F74" s="5" t="inlineStr">
        <is>
          <t>评测四个主流实时语音AI系统，发现它们普遍依赖文本内容而忽略声音中的情绪、讽刺、恐惧等副语言信号</t>
        </is>
      </c>
      <c r="G74" s="5" t="inlineStr">
        <is>
          <t>https://arxiv.org/abs/2606.26083</t>
        </is>
      </c>
    </row>
    <row r="75">
      <c r="A75" s="4" t="inlineStr">
        <is>
          <t>How Robust is OCR-Reasoning? Evaluating OCR-Reasoning Robustness of Vision-Language Models under Visual Perturbations</t>
        </is>
      </c>
      <c r="B75" s="5" t="inlineStr">
        <is>
          <t>Yuxing Cheng, Yuan Wu, Yi Chang</t>
        </is>
      </c>
      <c r="C75" s="5" t="inlineStr">
        <is>
          <t>arXiv 2026</t>
        </is>
      </c>
      <c r="D75" s="5" t="inlineStr"/>
      <c r="E75" s="5" t="n">
        <v>7</v>
      </c>
      <c r="F75" s="5" t="inlineStr">
        <is>
          <t>构建OCR-Robust基准，系统评估18个视觉语言模型在五种视觉扰动下的OCR推理鲁棒性</t>
        </is>
      </c>
      <c r="G75" s="5" t="inlineStr">
        <is>
          <t>https://arxiv.org/abs/2606.26041</t>
        </is>
      </c>
    </row>
    <row r="76">
      <c r="A76" s="4" t="inlineStr">
        <is>
          <t>Age of LLM: A Strategic 1v1 Benchmark for Reasoning, Diplomacy and Reliability of Large Language Models under Fog of War</t>
        </is>
      </c>
      <c r="B76" s="5" t="inlineStr">
        <is>
          <t>Arnaud Ricci</t>
        </is>
      </c>
      <c r="C76" s="5" t="inlineStr">
        <is>
          <t>arXiv 2026</t>
        </is>
      </c>
      <c r="D76" s="5" t="inlineStr"/>
      <c r="E76" s="5" t="n">
        <v>5</v>
      </c>
      <c r="F76" s="5" t="inlineStr">
        <is>
          <t>推出融合战争迷雾、外交谈判与严格JSON动作可靠性的1v1策略对战基准，评估LLM长程推理与可信赖性</t>
        </is>
      </c>
      <c r="G76" s="5" t="inlineStr">
        <is>
          <t>https://arxiv.org/abs/2606.24391</t>
        </is>
      </c>
    </row>
    <row r="77">
      <c r="A77" s="4" t="inlineStr">
        <is>
          <t>Representing Time Series as Structured Programs for LLM Reasoning</t>
        </is>
      </c>
      <c r="B77" s="5" t="inlineStr">
        <is>
          <t>Jaeho Kim, Changjun Oh, Seokhyun Lee, Irina Rish, Changhee Lee</t>
        </is>
      </c>
      <c r="C77" s="5" t="inlineStr">
        <is>
          <t>arXiv 2026</t>
        </is>
      </c>
      <c r="D77" s="5" t="inlineStr"/>
      <c r="E77" s="5" t="n">
        <v>8</v>
      </c>
      <c r="F77" s="5" t="inlineStr">
        <is>
          <t>提出T2SP方法，将时间序列表示为结构化符号程序，使现成LLM无需额外训练即可进行时间序列推理</t>
        </is>
      </c>
      <c r="G77" s="5" t="inlineStr">
        <is>
          <t>https://arxiv.org/abs/2606.12481</t>
        </is>
      </c>
    </row>
    <row r="78">
      <c r="A78" s="4" t="inlineStr">
        <is>
          <t>The Periodic Table of LLM Reasoning: A Structured Survey of Reasoning Paradigms, Methods, and Failure Modes</t>
        </is>
      </c>
      <c r="B78" s="5" t="inlineStr">
        <is>
          <t>Avinash Anand, Mahisha Ramesh, Avni Mittal, Ashutosh Kumar, Erik Cambria, Zhengkui Wang, Timothy Liu, Aik Beng Ng, Simon See, Rajiv Ratn Shah</t>
        </is>
      </c>
      <c r="C78" s="5" t="inlineStr">
        <is>
          <t>arXiv 2026</t>
        </is>
      </c>
      <c r="D78" s="5" t="inlineStr"/>
      <c r="E78" s="5" t="n">
        <v>4</v>
      </c>
      <c r="F78" s="5" t="inlineStr">
        <is>
          <t>对300余篇近期LLM推理研究进行系统综述，提出结构化分类体系并梳理主要推理范式、方法与失效模式</t>
        </is>
      </c>
      <c r="G78" s="5" t="inlineStr">
        <is>
          <t>https://arxiv.org/abs/2606.11470</t>
        </is>
      </c>
    </row>
    <row r="79">
      <c r="A79" s="4" t="inlineStr">
        <is>
          <t>Reinforcement Learning without Ground-Truth Solutions can Improve LLMs</t>
        </is>
      </c>
      <c r="B79" s="5" t="inlineStr">
        <is>
          <t>Yingyu Lin, Qiyue Gao, Nikki Lijing Kuang et al.</t>
        </is>
      </c>
      <c r="C79" s="5" t="inlineStr">
        <is>
          <t>arXiv 2026</t>
        </is>
      </c>
      <c r="D79" s="5" t="inlineStr"/>
      <c r="E79" s="5" t="n">
        <v>4</v>
      </c>
      <c r="F79" s="5" t="inlineStr">
        <is>
          <t>探索在没有标准答案的情况下，如何利用强化学习进一步提升大语言模型能力，降低对昂贵人工标注的依赖。</t>
        </is>
      </c>
      <c r="G79" s="5" t="inlineStr">
        <is>
          <t>https://arxiv.org/abs/2606.27369</t>
        </is>
      </c>
    </row>
    <row r="80">
      <c r="A80" s="4" t="inlineStr">
        <is>
          <t>Autoregressive Boltzmann Generators</t>
        </is>
      </c>
      <c r="B80" s="5" t="inlineStr">
        <is>
          <t>Danyal Rehman, Charlie B. Tan, Yoshua Bengio et al.</t>
        </is>
      </c>
      <c r="C80" s="5" t="inlineStr">
        <is>
          <t>arXiv 2026</t>
        </is>
      </c>
      <c r="D80" s="5" t="inlineStr"/>
      <c r="E80" s="5" t="n">
        <v>3</v>
      </c>
      <c r="F80" s="5" t="inlineStr">
        <is>
          <t>结合自回归模型与能量建模优势的自回归玻尔兹曼生成器，用于复杂分布建模。</t>
        </is>
      </c>
      <c r="G80" s="5" t="inlineStr">
        <is>
          <t>https://arxiv.org/abs/2606.27361</t>
        </is>
      </c>
    </row>
    <row r="81">
      <c r="A81" s="4" t="inlineStr">
        <is>
          <t>Error-Conditioned Neural Solvers</t>
        </is>
      </c>
      <c r="B81" s="5" t="inlineStr">
        <is>
          <t>Haina Jiang, Liam Wang, Peng-Chen Chen et al.</t>
        </is>
      </c>
      <c r="C81" s="5" t="inlineStr">
        <is>
          <t>arXiv 2026</t>
        </is>
      </c>
      <c r="D81" s="5" t="inlineStr"/>
      <c r="E81" s="5" t="n">
        <v>3</v>
      </c>
      <c r="F81" s="5" t="inlineStr">
        <is>
          <t>基于误差条件的神经求解器，根据当前解的误差动态调整求解策略。</t>
        </is>
      </c>
      <c r="G81" s="5" t="inlineStr">
        <is>
          <t>https://arxiv.org/abs/2606.27354</t>
        </is>
      </c>
    </row>
    <row r="82">
      <c r="A82" s="4" t="inlineStr">
        <is>
          <t>Hallucination in World Models is Predictable and Preventable</t>
        </is>
      </c>
      <c r="B82" s="5" t="inlineStr">
        <is>
          <t>Nicklas Hansen, Xiaolong Wang</t>
        </is>
      </c>
      <c r="C82" s="5" t="inlineStr">
        <is>
          <t>arXiv 2026</t>
        </is>
      </c>
      <c r="D82" s="5" t="inlineStr"/>
      <c r="E82" s="5" t="n">
        <v>5</v>
      </c>
      <c r="F82" s="5" t="inlineStr">
        <is>
          <t>研究世界模型中的幻觉现象，发现其具有可预测性，并提出针对性的预防方法。</t>
        </is>
      </c>
      <c r="G82" s="5" t="inlineStr">
        <is>
          <t>https://arxiv.org/abs/2606.27326</t>
        </is>
      </c>
    </row>
    <row r="83">
      <c r="A83" s="4" t="inlineStr">
        <is>
          <t>Beyond the Hard Budget: Sparsity Regularizers for More Interpretable Top-k Sparse Autoencoders</t>
        </is>
      </c>
      <c r="B83" s="5" t="inlineStr">
        <is>
          <t>Nathanaël Jacquier, Maria Vakalopoulou, Mahdi S. Hosseini</t>
        </is>
      </c>
      <c r="C83" s="5" t="inlineStr">
        <is>
          <t>arXiv 2026</t>
        </is>
      </c>
      <c r="D83" s="5" t="inlineStr"/>
      <c r="E83" s="5" t="n">
        <v>3</v>
      </c>
      <c r="F83" s="5" t="inlineStr">
        <is>
          <t>超越硬预算约束，引入稀疏正则化器以提升Top-k稀疏自编码器的可解释性。</t>
        </is>
      </c>
      <c r="G83" s="5" t="inlineStr">
        <is>
          <t>https://arxiv.org/abs/2606.27321</t>
        </is>
      </c>
    </row>
    <row r="84">
      <c r="A84" s="4" t="inlineStr">
        <is>
          <t>Blackwell Approachability and Gradient Equilibrium are Equivalent</t>
        </is>
      </c>
      <c r="B84" s="5" t="inlineStr">
        <is>
          <t>Brian W. Lee, Nika Haghtalab, Michael I. Jordan, Ryan J. Tibshirani</t>
        </is>
      </c>
      <c r="C84" s="5" t="inlineStr">
        <is>
          <t>arXiv 2026</t>
        </is>
      </c>
      <c r="D84" s="5" t="inlineStr"/>
      <c r="E84" s="5" t="n">
        <v>2</v>
      </c>
      <c r="F84" s="5" t="inlineStr">
        <is>
          <t>证明Blackwell可接近性与梯度均衡的等价性，为在线学习与博弈论提供新的理论桥梁。</t>
        </is>
      </c>
      <c r="G84" s="5" t="inlineStr">
        <is>
          <t>https://arxiv.org/abs/2606.27315</t>
        </is>
      </c>
    </row>
    <row r="85">
      <c r="A85" s="4" t="inlineStr">
        <is>
          <t>Designing Reward Signals for Portable Query Generation</t>
        </is>
      </c>
      <c r="B85" s="5" t="inlineStr">
        <is>
          <t>Ping Liu, Qianqi Shen, Jianqiang Shen et al.</t>
        </is>
      </c>
      <c r="C85" s="5" t="inlineStr">
        <is>
          <t>arXiv 2026</t>
        </is>
      </c>
      <c r="D85" s="5" t="inlineStr"/>
      <c r="E85" s="5" t="n">
        <v>4</v>
      </c>
      <c r="F85" s="5" t="inlineStr">
        <is>
          <t>以工业语义招聘搜索为案例，设计可迁移的查询生成奖励信号。</t>
        </is>
      </c>
      <c r="G85" s="5" t="inlineStr">
        <is>
          <t>https://arxiv.org/abs/2606.27291</t>
        </is>
      </c>
    </row>
    <row r="86">
      <c r="A86" s="4" t="inlineStr">
        <is>
          <t>How Good Can Linear Models Be for Time-Series Forecasting?</t>
        </is>
      </c>
      <c r="B86" s="5" t="inlineStr">
        <is>
          <t>Lang Huang, Jinglue Xu, Luke Darlow</t>
        </is>
      </c>
      <c r="C86" s="5" t="inlineStr">
        <is>
          <t>arXiv 2026</t>
        </is>
      </c>
      <c r="D86" s="5" t="inlineStr"/>
      <c r="E86" s="5" t="n">
        <v>3</v>
      </c>
      <c r="F86" s="5" t="inlineStr">
        <is>
          <t>系统评估线性模型在时间序列预测中的能力边界，为轻量级预测方案选择提供实证依据。</t>
        </is>
      </c>
      <c r="G86" s="5" t="inlineStr">
        <is>
          <t>https://arxiv.org/abs/2606.27282</t>
        </is>
      </c>
    </row>
    <row r="87">
      <c r="A87" s="4" t="inlineStr">
        <is>
          <t>DanceOPD: On-Policy Generative Field Distillation</t>
        </is>
      </c>
      <c r="B87" s="5" t="inlineStr">
        <is>
          <t>Wei Zhou, Xiongwei Zhu, Zelin Xu et al.</t>
        </is>
      </c>
      <c r="C87" s="5" t="inlineStr">
        <is>
          <t>arXiv 2026</t>
        </is>
      </c>
      <c r="D87" s="5" t="inlineStr"/>
      <c r="E87" s="5" t="n">
        <v>3</v>
      </c>
      <c r="F87" s="5" t="inlineStr">
        <is>
          <t>在线策略生成场蒸馏方法，用于高效迁移生成模型知识。</t>
        </is>
      </c>
      <c r="G87" s="5" t="inlineStr">
        <is>
          <t>https://arxiv.org/abs/2606.27377</t>
        </is>
      </c>
    </row>
    <row r="88">
      <c r="A88" s="4" t="inlineStr">
        <is>
          <t>Ask, Solve, Generate: Self-Evolving Unified Multimodal Understanding and Generation</t>
        </is>
      </c>
      <c r="B88" s="5" t="inlineStr">
        <is>
          <t>Ritesh Thawkar, Shravan Venkatraman, Omkar Thawkar et al.</t>
        </is>
      </c>
      <c r="C88" s="5" t="inlineStr">
        <is>
          <t>arXiv 2026</t>
        </is>
      </c>
      <c r="D88" s="5" t="inlineStr"/>
      <c r="E88" s="5" t="n">
        <v>4</v>
      </c>
      <c r="F88" s="5" t="inlineStr">
        <is>
          <t>通过自一致性奖励实现自我进化的统一多模态理解与生成框架。</t>
        </is>
      </c>
      <c r="G88" s="5" t="inlineStr">
        <is>
          <t>https://arxiv.org/abs/2606.27376</t>
        </is>
      </c>
    </row>
    <row r="89">
      <c r="A89" s="4" t="inlineStr">
        <is>
          <t>Paying More Attention to Visual Tokens in Self-Evolving Large Multimodal Models</t>
        </is>
      </c>
      <c r="B89" s="5" t="inlineStr">
        <is>
          <t>Shravan Venkatraman, Ritesh Thawkar, Omkar Thawkar et al.</t>
        </is>
      </c>
      <c r="C89" s="5" t="inlineStr">
        <is>
          <t>arXiv 2026</t>
        </is>
      </c>
      <c r="D89" s="5" t="inlineStr"/>
      <c r="E89" s="5" t="n">
        <v>3</v>
      </c>
      <c r="F89" s="5" t="inlineStr">
        <is>
          <t>研究在自我进化的多模态大模型中如何更有效地关注视觉Token。</t>
        </is>
      </c>
      <c r="G89" s="5" t="inlineStr">
        <is>
          <t>https://arxiv.org/abs/2606.27373</t>
        </is>
      </c>
    </row>
    <row r="90">
      <c r="A90" s="4" t="inlineStr">
        <is>
          <t>DnA: Denoising Attention for Visual Tasks</t>
        </is>
      </c>
      <c r="B90" s="5" t="inlineStr">
        <is>
          <t>Ron Campos, Subhajit Maity, Xin Li et al.</t>
        </is>
      </c>
      <c r="C90" s="5" t="inlineStr">
        <is>
          <t>arXiv 2026</t>
        </is>
      </c>
      <c r="D90" s="5" t="inlineStr"/>
      <c r="E90" s="5" t="n">
        <v>3</v>
      </c>
      <c r="F90" s="5" t="inlineStr">
        <is>
          <t>提出去噪注意力机制，针对视觉任务中的注意力噪声进行抑制。</t>
        </is>
      </c>
      <c r="G90" s="5" t="inlineStr">
        <is>
          <t>https://arxiv.org/abs/2606.27372</t>
        </is>
      </c>
    </row>
    <row r="91">
      <c r="A91" s="4" t="inlineStr">
        <is>
          <t>PhysiFormer: Learning to Simulate Mechanics in World Space</t>
        </is>
      </c>
      <c r="B91" s="5" t="inlineStr">
        <is>
          <t>Yiming Chen, Yushi Lan, Andrea Vedaldi</t>
        </is>
      </c>
      <c r="C91" s="5" t="inlineStr">
        <is>
          <t>arXiv 2026</t>
        </is>
      </c>
      <c r="D91" s="5" t="inlineStr"/>
      <c r="E91" s="5" t="n">
        <v>4</v>
      </c>
      <c r="F91" s="5" t="inlineStr">
        <is>
          <t>学习在世界空间中模拟物理力学，推动基于神经网络的物理仿真发展。</t>
        </is>
      </c>
      <c r="G91" s="5" t="inlineStr">
        <is>
          <t>https://arxiv.org/abs/2606.27364</t>
        </is>
      </c>
    </row>
    <row r="92">
      <c r="A92" s="4" t="inlineStr">
        <is>
          <t>RayPE: Ray-Space Positional Encoding for 3D-Aware Video Generation</t>
        </is>
      </c>
      <c r="B92" s="5" t="inlineStr">
        <is>
          <t>Minghao Yin, Jiahao Lu, Wenbo Hu et al.</t>
        </is>
      </c>
      <c r="C92" s="5" t="inlineStr">
        <is>
          <t>arXiv 2026</t>
        </is>
      </c>
      <c r="D92" s="5" t="inlineStr"/>
      <c r="E92" s="5" t="n">
        <v>4</v>
      </c>
      <c r="F92" s="5" t="inlineStr">
        <is>
          <t>提出射线空间位置编码，增强视频生成模型的3D感知能力。</t>
        </is>
      </c>
      <c r="G92" s="5" t="inlineStr">
        <is>
          <t>https://arxiv.org/abs/2606.27345</t>
        </is>
      </c>
    </row>
    <row r="93">
      <c r="A93" s="4" t="inlineStr">
        <is>
          <t>SAM2Matting: Generalized Image and Video Matting</t>
        </is>
      </c>
      <c r="B93" s="5" t="inlineStr">
        <is>
          <t>Ruiqi Shen, Guangquan Jie, Chang Liu, Henghui Ding</t>
        </is>
      </c>
      <c r="C93" s="5" t="inlineStr">
        <is>
          <t>arXiv 2026</t>
        </is>
      </c>
      <c r="D93" s="5" t="inlineStr"/>
      <c r="E93" s="5" t="n">
        <v>4</v>
      </c>
      <c r="F93" s="5" t="inlineStr">
        <is>
          <t>基于SAM2推广到通用图像与视频抠图任务，提升复杂场景前景提取精度。</t>
        </is>
      </c>
      <c r="G93" s="5" t="inlineStr">
        <is>
          <t>https://arxiv.org/abs/2606.27339</t>
        </is>
      </c>
    </row>
    <row r="94">
      <c r="A94" s="4" t="inlineStr">
        <is>
          <t>PerceptionRubrics: Calibrating Multimodal Evaluation to Human Perception</t>
        </is>
      </c>
      <c r="B94" s="5" t="inlineStr">
        <is>
          <t>Yana Wei et al.</t>
        </is>
      </c>
      <c r="C94" s="5" t="inlineStr">
        <is>
          <t>arXiv 2026 (ICML)</t>
        </is>
      </c>
      <c r="D94" s="5" t="inlineStr">
        <is>
          <t>ICML 2026 投稿</t>
        </is>
      </c>
      <c r="E94" s="5" t="n">
        <v>5</v>
      </c>
      <c r="F94" s="5" t="inlineStr">
        <is>
          <t>调整多模态模型评估体系，使其结果更贴近人类主观感知体验。</t>
        </is>
      </c>
      <c r="G94" s="5" t="inlineStr">
        <is>
          <t>https://arxiv.org/abs/2606.28322</t>
        </is>
      </c>
    </row>
    <row r="95">
      <c r="A95" s="4" t="inlineStr">
        <is>
          <t>StructSplat: Generalizable 3D Gaussian Splatting from Uncalibrated Sparse Views</t>
        </is>
      </c>
      <c r="B95" s="5" t="inlineStr">
        <is>
          <t>Jia-Chen Zhao et al.</t>
        </is>
      </c>
      <c r="C95" s="5" t="inlineStr">
        <is>
          <t>arXiv 2026</t>
        </is>
      </c>
      <c r="D95" s="5" t="inlineStr"/>
      <c r="E95" s="5" t="n">
        <v>6</v>
      </c>
      <c r="F95" s="5" t="inlineStr">
        <is>
          <t>针对未校准稀疏视图实现通用三维高斯泼溅重建。</t>
        </is>
      </c>
      <c r="G95" s="5" t="inlineStr">
        <is>
          <t>https://arxiv.org/abs/2606.28321</t>
        </is>
      </c>
    </row>
    <row r="96">
      <c r="A96" s="4" t="inlineStr">
        <is>
          <t>HAT-4D: Lifting Monocular Video for 4D Multi-Object Interactions via Human-Agent Collaboration</t>
        </is>
      </c>
      <c r="B96" s="5" t="inlineStr">
        <is>
          <t>Jiaxin Li et al.</t>
        </is>
      </c>
      <c r="C96" s="5" t="inlineStr">
        <is>
          <t>arXiv 2026</t>
        </is>
      </c>
      <c r="D96" s="5" t="inlineStr"/>
      <c r="E96" s="5" t="n">
        <v>5</v>
      </c>
      <c r="F96" s="5" t="inlineStr">
        <is>
          <t>通过人机协作将单目视频提升至四维场景多物体交互建模。</t>
        </is>
      </c>
      <c r="G96" s="5" t="inlineStr">
        <is>
          <t>https://arxiv.org/abs/2606.28215</t>
        </is>
      </c>
    </row>
    <row r="97">
      <c r="A97" s="4" t="inlineStr">
        <is>
          <t>PhysisForcing: Physics Reinforced World Simulator for Robotic Manipulation</t>
        </is>
      </c>
      <c r="B97" s="5" t="inlineStr">
        <is>
          <t>Peiwen Zhang et al.</t>
        </is>
      </c>
      <c r="C97" s="5" t="inlineStr">
        <is>
          <t>arXiv 2026</t>
        </is>
      </c>
      <c r="D97" s="5" t="inlineStr"/>
      <c r="E97" s="5" t="n">
        <v>7</v>
      </c>
      <c r="F97" s="5" t="inlineStr">
        <is>
          <t>构建基于物理规则强化的世界模拟器，增强机器人操作控制能力。</t>
        </is>
      </c>
      <c r="G97" s="5" t="inlineStr">
        <is>
          <t>https://arxiv.org/abs/2606.28128</t>
        </is>
      </c>
    </row>
    <row r="98">
      <c r="A98" s="4" t="inlineStr">
        <is>
          <t>From Tokens to States: LLMs as a Special Case of World Models and the Continuous Path Beyond</t>
        </is>
      </c>
      <c r="B98" s="5" t="inlineStr">
        <is>
          <t>Paul Dubois</t>
        </is>
      </c>
      <c r="C98" s="5" t="inlineStr">
        <is>
          <t>arXiv 2026</t>
        </is>
      </c>
      <c r="D98" s="5" t="inlineStr"/>
      <c r="E98" s="5" t="n">
        <v>4</v>
      </c>
      <c r="F98" s="5" t="inlineStr">
        <is>
          <t>将大模型视作世界模型特例，并提出持续发展的理论路径。</t>
        </is>
      </c>
      <c r="G98" s="5" t="inlineStr">
        <is>
          <t>https://arxiv.org/abs/2606.28127</t>
        </is>
      </c>
    </row>
    <row r="99">
      <c r="A99" s="4" t="inlineStr">
        <is>
          <t>Mechanism-Driven Monitors for Preemptive Detection of LLM Training Instability</t>
        </is>
      </c>
      <c r="B99" s="5" t="inlineStr">
        <is>
          <t>Ruixuan Huang, Yipei Wang, Wenyi Fang et al.</t>
        </is>
      </c>
      <c r="C99" s="5" t="inlineStr">
        <is>
          <t>arXiv 2026</t>
        </is>
      </c>
      <c r="D99" s="5" t="inlineStr"/>
      <c r="E99" s="5" t="n">
        <v>6</v>
      </c>
      <c r="F99" s="5" t="inlineStr">
        <is>
          <t>开发基于机制的监控工具，提前发现大模型训练过程中的不稳定性。</t>
        </is>
      </c>
      <c r="G99" s="5" t="inlineStr">
        <is>
          <t>https://arxiv.org/abs/2606.28116</t>
        </is>
      </c>
    </row>
    <row r="100">
      <c r="A100" s="4" t="inlineStr">
        <is>
          <t>EntMTP: Accelerating LLM Inference with Entropy Guided Multi Token Prediction</t>
        </is>
      </c>
      <c r="B100" s="5" t="inlineStr">
        <is>
          <t>Carrie Chen</t>
        </is>
      </c>
      <c r="C100" s="5" t="inlineStr">
        <is>
          <t>arXiv 2026</t>
        </is>
      </c>
      <c r="D100" s="5" t="inlineStr"/>
      <c r="E100" s="5" t="n">
        <v>7</v>
      </c>
      <c r="F100" s="5" t="inlineStr">
        <is>
          <t>利用熵值引导的多 token 预测方法加速大模型推理。</t>
        </is>
      </c>
      <c r="G100" s="5" t="inlineStr">
        <is>
          <t>https://arxiv.org/abs/2606.27550</t>
        </is>
      </c>
    </row>
    <row r="101">
      <c r="A101" s="4" t="inlineStr">
        <is>
          <t>Agentic Transformers Provably Learn to Search via Reinforcement Learning</t>
        </is>
      </c>
      <c r="B101" s="5" t="inlineStr">
        <is>
          <t>Tong Yang et al.</t>
        </is>
      </c>
      <c r="C101" s="5" t="inlineStr">
        <is>
          <t>arXiv 2026</t>
        </is>
      </c>
      <c r="D101" s="5" t="inlineStr"/>
      <c r="E101" s="5" t="n">
        <v>6</v>
      </c>
      <c r="F101" s="5" t="inlineStr">
        <is>
          <t>通过理论证明展示智能体 Transformer 能利用强化学习掌握搜索策略。</t>
        </is>
      </c>
      <c r="G101" s="5" t="inlineStr">
        <is>
          <t>https://arxiv.org/abs/2606.00183</t>
        </is>
      </c>
    </row>
  </sheetData>
  <conditionalFormatting sqref="D2:D101">
    <cfRule type="expression" priority="1" dxfId="0">
      <formula>ISNUMBER(SEARCH("最佳论文",$D2))</formula>
    </cfRule>
    <cfRule type="expression" priority="2" dxfId="1">
      <formula>ISNUMBER(SEARCH("杰出论文",$D2))</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61"/>
  <sheetViews>
    <sheetView workbookViewId="0">
      <selection activeCell="A1" sqref="A1"/>
    </sheetView>
  </sheetViews>
  <sheetFormatPr baseColWidth="8" defaultRowHeight="15"/>
  <cols>
    <col width="12" customWidth="1" min="1" max="1"/>
    <col width="45" customWidth="1" min="2" max="2"/>
    <col width="12" customWidth="1" min="3" max="3"/>
    <col width="10" customWidth="1" min="4" max="4"/>
    <col width="30" customWidth="1" min="5" max="5"/>
    <col width="40" customWidth="1" min="6" max="6"/>
    <col width="35" customWidth="1" min="7" max="7"/>
  </cols>
  <sheetData>
    <row r="1">
      <c r="A1" s="3" t="inlineStr">
        <is>
          <t>日期</t>
        </is>
      </c>
      <c r="B1" s="3" t="inlineStr">
        <is>
          <t>标题</t>
        </is>
      </c>
      <c r="C1" s="3" t="inlineStr">
        <is>
          <t>分类</t>
        </is>
      </c>
      <c r="D1" s="3" t="inlineStr">
        <is>
          <t>重要程度</t>
        </is>
      </c>
      <c r="E1" s="3" t="inlineStr">
        <is>
          <t>关键数据</t>
        </is>
      </c>
      <c r="F1" s="3" t="inlineStr">
        <is>
          <t>影响</t>
        </is>
      </c>
      <c r="G1" s="3" t="inlineStr">
        <is>
          <t>来源</t>
        </is>
      </c>
    </row>
    <row r="2">
      <c r="A2" s="4" t="inlineStr">
        <is>
          <t>2026-06-30</t>
        </is>
      </c>
      <c r="B2" s="5" t="inlineStr">
        <is>
          <t>韩国公布迄今最大规模 AI 与半导体投资计划</t>
        </is>
      </c>
      <c r="C2" s="5" t="inlineStr">
        <is>
          <t>半导体</t>
        </is>
      </c>
      <c r="D2" s="5" t="inlineStr">
        <is>
          <t>high</t>
        </is>
      </c>
      <c r="E2" s="5" t="inlineStr">
        <is>
          <t>1461 万亿韩元政府出资 + 4755 万亿韩元企业投资</t>
        </is>
      </c>
      <c r="F2" s="5" t="inlineStr">
        <is>
          <t>刺激全球存储与半导体板块，A 股存储股大涨</t>
        </is>
      </c>
      <c r="G2" s="5" t="inlineStr">
        <is>
          <t>https://www.nbd.com.cn/articles/2026-06-30/4441209.html</t>
        </is>
      </c>
    </row>
    <row r="3">
      <c r="A3" s="4" t="inlineStr">
        <is>
          <t>2026-06-30</t>
        </is>
      </c>
      <c r="B3" s="5" t="inlineStr">
        <is>
          <t>中国芯片出口额同比暴增 110%</t>
        </is>
      </c>
      <c r="C3" s="5" t="inlineStr">
        <is>
          <t>半导体</t>
        </is>
      </c>
      <c r="D3" s="5" t="inlineStr">
        <is>
          <t>high</t>
        </is>
      </c>
      <c r="E3" s="5" t="inlineStr">
        <is>
          <t>110% 出口额同比增长</t>
        </is>
      </c>
      <c r="F3" s="5" t="inlineStr">
        <is>
          <t>引发对西方封锁效果的讨论，但需区分成熟与先进制程</t>
        </is>
      </c>
      <c r="G3" s="5" t="inlineStr">
        <is>
          <t>https://www.bbc.com/zhongwen/articles/cg4w2n5ql32o/simp</t>
        </is>
      </c>
    </row>
    <row r="4">
      <c r="A4" s="4" t="inlineStr">
        <is>
          <t>2026-06-30</t>
        </is>
      </c>
      <c r="B4" s="5" t="inlineStr">
        <is>
          <t>美股三大指数齐创收盘新高，纳指涨 2.07%</t>
        </is>
      </c>
      <c r="C4" s="5" t="inlineStr">
        <is>
          <t>美股</t>
        </is>
      </c>
      <c r="D4" s="5" t="inlineStr">
        <is>
          <t>high</t>
        </is>
      </c>
      <c r="E4" s="5" t="inlineStr">
        <is>
          <t>纳指 25820.14 +2.07%</t>
        </is>
      </c>
      <c r="F4" s="5" t="inlineStr">
        <is>
          <t>强化 AI 资本开支周期与科技股高估值叙事</t>
        </is>
      </c>
      <c r="G4" s="5" t="inlineStr">
        <is>
          <t>https://finance.sina.com.cn/stock/usstock/summary/2026-06-30/doc-inifcrna4974730.shtml</t>
        </is>
      </c>
    </row>
    <row r="5">
      <c r="A5" s="4" t="inlineStr">
        <is>
          <t>2026-06-30</t>
        </is>
      </c>
      <c r="B5" s="5" t="inlineStr">
        <is>
          <t>英伟达即将被纳入标普 500 指数调整</t>
        </is>
      </c>
      <c r="C5" s="5" t="inlineStr">
        <is>
          <t>美股</t>
        </is>
      </c>
      <c r="D5" s="5" t="inlineStr">
        <is>
          <t>medium</t>
        </is>
      </c>
      <c r="E5" s="5" t="inlineStr">
        <is>
          <t>英伟达纳入标普 500 预期</t>
        </is>
      </c>
      <c r="F5" s="5" t="inlineStr">
        <is>
          <t>指数基金被动配置带来短期买盘，半导体情绪提振</t>
        </is>
      </c>
      <c r="G5" s="5" t="inlineStr">
        <is>
          <t>https://finance.sina.com.cn/stock/usstock/summary/2026-06-30/doc-inifcrna4974730.shtml</t>
        </is>
      </c>
    </row>
    <row r="6">
      <c r="A6" s="4" t="inlineStr">
        <is>
          <t>2026-06-30</t>
        </is>
      </c>
      <c r="B6" s="5" t="inlineStr">
        <is>
          <t>星巴克结束饿了么独家合作，上线美团外卖</t>
        </is>
      </c>
      <c r="C6" s="5" t="inlineStr">
        <is>
          <t>消费互联网</t>
        </is>
      </c>
      <c r="D6" s="5" t="inlineStr">
        <is>
          <t>medium</t>
        </is>
      </c>
      <c r="E6" s="5" t="inlineStr">
        <is>
          <t>星巴克上线美团</t>
        </is>
      </c>
      <c r="F6" s="5" t="inlineStr">
        <is>
          <t>商家多平台运营成趋势，外卖市场互联互通加速</t>
        </is>
      </c>
      <c r="G6" s="5" t="inlineStr">
        <is>
          <t>https://www.cls.cn/detail/918234</t>
        </is>
      </c>
    </row>
    <row r="7">
      <c r="A7" s="4" t="inlineStr">
        <is>
          <t>2026-06-30</t>
        </is>
      </c>
      <c r="B7" s="5" t="inlineStr">
        <is>
          <t>A 股存储板块受韩国投资计划刺激大涨</t>
        </is>
      </c>
      <c r="C7" s="5" t="inlineStr">
        <is>
          <t>A股</t>
        </is>
      </c>
      <c r="D7" s="5" t="inlineStr">
        <is>
          <t>medium</t>
        </is>
      </c>
      <c r="E7" s="5" t="inlineStr">
        <is>
          <t>兆易创新 +9%</t>
        </is>
      </c>
      <c r="F7" s="5" t="inlineStr">
        <is>
          <t>存储股估值从周期股向 AI 基础设施股切换</t>
        </is>
      </c>
      <c r="G7" s="5" t="inlineStr">
        <is>
          <t>https://www.stcn.com/article/detail/3987592.html</t>
        </is>
      </c>
    </row>
    <row r="8">
      <c r="A8" s="4" t="inlineStr">
        <is>
          <t>2026-06-27</t>
        </is>
      </c>
      <c r="B8" s="5" t="inlineStr">
        <is>
          <t>Anthropic势将与美国政府达成协议，解除对AI模型的限制</t>
        </is>
      </c>
      <c r="C8" s="5" t="inlineStr">
        <is>
          <t>AI监管</t>
        </is>
      </c>
      <c r="D8" s="5" t="inlineStr">
        <is>
          <t>high</t>
        </is>
      </c>
      <c r="E8" s="5" t="inlineStr">
        <is>
          <t>协议细节未披露</t>
        </is>
      </c>
      <c r="F8" s="5" t="inlineStr">
        <is>
          <t>AI监管环境潜在松动</t>
        </is>
      </c>
      <c r="G8" s="5" t="inlineStr">
        <is>
          <t>https://www.cls.cn/detail/2410770</t>
        </is>
      </c>
    </row>
    <row r="9">
      <c r="A9" s="4" t="inlineStr">
        <is>
          <t>2026-06-27</t>
        </is>
      </c>
      <c r="B9" s="5" t="inlineStr">
        <is>
          <t>纳指收跌0.2%，芯片股下挫，西部数据大跌13%</t>
        </is>
      </c>
      <c r="C9" s="5" t="inlineStr">
        <is>
          <t>半导体/美股</t>
        </is>
      </c>
      <c r="D9" s="5" t="inlineStr">
        <is>
          <t>high</t>
        </is>
      </c>
      <c r="E9" s="5" t="inlineStr">
        <is>
          <t>费城半导体指数-5.29%，西部数据-13%</t>
        </is>
      </c>
      <c r="F9" s="5" t="inlineStr">
        <is>
          <t>存储类芯片股遭遇估值下杀</t>
        </is>
      </c>
      <c r="G9" s="5" t="inlineStr">
        <is>
          <t>https://www.nbd.com.cn/articles/2026-06-27/4439275.html</t>
        </is>
      </c>
    </row>
    <row r="10">
      <c r="A10" s="4" t="inlineStr">
        <is>
          <t>2026-06-27</t>
        </is>
      </c>
      <c r="B10" s="5" t="inlineStr">
        <is>
          <t>半导体设备迎来增长大年，2026年设备增速预期上调至23.5%</t>
        </is>
      </c>
      <c r="C10" s="5" t="inlineStr">
        <is>
          <t>半导体</t>
        </is>
      </c>
      <c r="D10" s="5" t="inlineStr">
        <is>
          <t>high</t>
        </is>
      </c>
      <c r="E10" s="5" t="inlineStr">
        <is>
          <t>2026设备增速预期23.5%，投资近450亿元</t>
        </is>
      </c>
      <c r="F10" s="5" t="inlineStr">
        <is>
          <t>中国半导体设备赛道迎来3年高景气周期</t>
        </is>
      </c>
      <c r="G10" s="5" t="inlineStr">
        <is>
          <t>https://paper.cnstock.com/html/2026-06/27/content_2236404.htm</t>
        </is>
      </c>
    </row>
    <row r="11">
      <c r="A11" s="4" t="inlineStr">
        <is>
          <t>2026-06-27</t>
        </is>
      </c>
      <c r="B11" s="5" t="inlineStr">
        <is>
          <t>A股大涨后风险积聚，市值一天蒸发约2.9万亿元</t>
        </is>
      </c>
      <c r="C11" s="5" t="inlineStr">
        <is>
          <t>A股</t>
        </is>
      </c>
      <c r="D11" s="5" t="inlineStr">
        <is>
          <t>medium</t>
        </is>
      </c>
      <c r="E11" s="5" t="inlineStr">
        <is>
          <t>A股市值一天蒸发约2.9万亿元</t>
        </is>
      </c>
      <c r="F11" s="5" t="inlineStr">
        <is>
          <t>高位调整压力显现，市场关注流动性与政策信号</t>
        </is>
      </c>
      <c r="G11" s="5" t="inlineStr">
        <is>
          <t>https://finance.sina.com.cn/wm/2026-06-27/doc-inieuyie1647928.shtml</t>
        </is>
      </c>
    </row>
    <row r="12">
      <c r="A12" s="4" t="inlineStr">
        <is>
          <t>2026-06-27</t>
        </is>
      </c>
      <c r="B12" s="5" t="inlineStr">
        <is>
          <t>AI开启半导体新时代，2026年产业规模接近万亿美元</t>
        </is>
      </c>
      <c r="C12" s="5" t="inlineStr">
        <is>
          <t>半导体</t>
        </is>
      </c>
      <c r="D12" s="5" t="inlineStr">
        <is>
          <t>medium</t>
        </is>
      </c>
      <c r="E12" s="5" t="inlineStr">
        <is>
          <t>2026产业规模接近万亿美元</t>
        </is>
      </c>
      <c r="F12" s="5" t="inlineStr">
        <is>
          <t>AI算力需求驱动半导体超级周期</t>
        </is>
      </c>
      <c r="G12" s="5" t="inlineStr">
        <is>
          <t>https://www.cnstock.com/commonDetail/648180</t>
        </is>
      </c>
    </row>
    <row r="13">
      <c r="A13" s="4" t="inlineStr">
        <is>
          <t>2026-06-26</t>
        </is>
      </c>
      <c r="B13" s="5" t="inlineStr">
        <is>
          <t>IBM发布全球首个亚1纳米芯片技术，采用0.7纳米晶体管架构</t>
        </is>
      </c>
      <c r="C13" s="5" t="inlineStr">
        <is>
          <t>半导体</t>
        </is>
      </c>
      <c r="D13" s="5" t="inlineStr">
        <is>
          <t>high</t>
        </is>
      </c>
      <c r="E13" s="5" t="inlineStr">
        <is>
          <t>0.7纳米（7埃）节点、亚1纳米晶体管架构</t>
        </is>
      </c>
      <c r="F13" s="5" t="inlineStr">
        <is>
          <t>推动半导体工艺进入埃米时代，可能重塑AI芯片性能边界与制造格局</t>
        </is>
      </c>
      <c r="G13" s="5" t="inlineStr">
        <is>
          <t>https://companies.caixin.com/2026-06-26/102457718.html</t>
        </is>
      </c>
    </row>
    <row r="14">
      <c r="A14" s="4" t="inlineStr">
        <is>
          <t>2026-06-26</t>
        </is>
      </c>
      <c r="B14" s="5" t="inlineStr">
        <is>
          <t>美光财报大超预期，AI存储需求带动芯片股大涨</t>
        </is>
      </c>
      <c r="C14" s="5" t="inlineStr">
        <is>
          <t>半导体</t>
        </is>
      </c>
      <c r="D14" s="5" t="inlineStr">
        <is>
          <t>high</t>
        </is>
      </c>
      <c r="E14" s="5" t="inlineStr">
        <is>
          <t>Q3营收414.6亿美元、目标营收500亿美元、股价+15%</t>
        </is>
      </c>
      <c r="F14" s="5" t="inlineStr">
        <is>
          <t>AI训练与推理对HBM/高带宽存储需求持续超预期，存储芯片进入超级周期</t>
        </is>
      </c>
      <c r="G14" s="5" t="inlineStr">
        <is>
          <t>https://finance.sina.com.cn/world/2026-06-26/doc-inieskua0668699.shtml</t>
        </is>
      </c>
    </row>
    <row r="15">
      <c r="A15" s="4" t="inlineStr">
        <is>
          <t>2026-06-26</t>
        </is>
      </c>
      <c r="B15" s="5" t="inlineStr">
        <is>
          <t>苹果WWDC 2026发布新一代Apple Intelligence与Siri AI</t>
        </is>
      </c>
      <c r="C15" s="5" t="inlineStr">
        <is>
          <t>AI应用</t>
        </is>
      </c>
      <c r="D15" s="5" t="inlineStr">
        <is>
          <t>high</t>
        </is>
      </c>
      <c r="E15" s="5" t="inlineStr">
        <is>
          <t>iOS 27、Siri AI、应用启动速度提升30%</t>
        </is>
      </c>
      <c r="F15" s="5" t="inlineStr">
        <is>
          <t>苹果将AI深度整合进操作系统，移动端AI Agent入口竞争加剧</t>
        </is>
      </c>
      <c r="G15" s="5" t="inlineStr">
        <is>
          <t>https://www.apple.com.cn/newsroom/2026/06/apple-unveils-next-generation-of-apple-intelligence-siri-ai-and-more/</t>
        </is>
      </c>
    </row>
    <row r="16">
      <c r="A16" s="4" t="inlineStr">
        <is>
          <t>2026-06-26</t>
        </is>
      </c>
      <c r="B16" s="5" t="inlineStr">
        <is>
          <t>中国芯片出口额暴增110%，存储芯片短缺推升价格</t>
        </is>
      </c>
      <c r="C16" s="5" t="inlineStr">
        <is>
          <t>半导体</t>
        </is>
      </c>
      <c r="D16" s="5" t="inlineStr">
        <is>
          <t>medium</t>
        </is>
      </c>
      <c r="E16" s="5" t="inlineStr">
        <is>
          <t>出口额超355.5亿美元、增长约110%</t>
        </is>
      </c>
      <c r="F16" s="5" t="inlineStr">
        <is>
          <t>价格因素主导出口额增长，反映全球存储芯片供需紧张，但高端制造能力差距仍存</t>
        </is>
      </c>
      <c r="G16" s="5" t="inlineStr">
        <is>
          <t>https://www.bbc.com/zhongwen/articles/cg4w2n5ql32o/simp</t>
        </is>
      </c>
    </row>
    <row r="17">
      <c r="A17" s="4" t="inlineStr">
        <is>
          <t>2026-06-26</t>
        </is>
      </c>
      <c r="B17" s="5" t="inlineStr">
        <is>
          <t>苹果M6跳过传闻被证伪，不符合半导体行业基本常识</t>
        </is>
      </c>
      <c r="C17" s="5" t="inlineStr">
        <is>
          <t>半导体</t>
        </is>
      </c>
      <c r="D17" s="5" t="inlineStr">
        <is>
          <t>medium</t>
        </is>
      </c>
      <c r="E17" s="5" t="inlineStr">
        <is>
          <t>传闻被证伪、芯片架构需提前数年规划</t>
        </is>
      </c>
      <c r="F17" s="5" t="inlineStr">
        <is>
          <t>提醒投资者基于公开信息决策，避免被未经验证的供应链传闻误导</t>
        </is>
      </c>
      <c r="G17" s="5" t="inlineStr">
        <is>
          <t>https://finance.sina.com.cn/stock/usstock/summary/2026-06-26/doc-iniesene0733273.shtml</t>
        </is>
      </c>
    </row>
    <row r="18">
      <c r="A18" s="4" t="inlineStr">
        <is>
          <t>2026-06-26</t>
        </is>
      </c>
      <c r="B18" s="5" t="inlineStr">
        <is>
          <t>世界经济论坛公布新一批AI应用之星，超半数案例来自中国</t>
        </is>
      </c>
      <c r="C18" s="5" t="inlineStr">
        <is>
          <t>AI产业</t>
        </is>
      </c>
      <c r="D18" s="5" t="inlineStr">
        <is>
          <t>low</t>
        </is>
      </c>
      <c r="E18" s="5" t="inlineStr">
        <is>
          <t>超半数案例来自中国</t>
        </is>
      </c>
      <c r="F18" s="5" t="inlineStr">
        <is>
          <t>中国AI应用落地速度领先全球，为产业数字化转型提供参考样本</t>
        </is>
      </c>
      <c r="G18" s="5" t="inlineStr">
        <is>
          <t>https://cn.weforum.org/press/2026/06/world-economic-forum-announces-new-minds-cohort-amid-ai-adoption-surge-cn/</t>
        </is>
      </c>
    </row>
    <row r="19">
      <c r="A19" s="4" t="inlineStr">
        <is>
          <t>2026-06-25</t>
        </is>
      </c>
      <c r="B19" s="5" t="inlineStr">
        <is>
          <t>OpenAI发布首款自研AI推理芯片Jalapeño，与博通合作9个月流片</t>
        </is>
      </c>
      <c r="C19" s="5" t="inlineStr">
        <is>
          <t>芯片</t>
        </is>
      </c>
      <c r="D19" s="5" t="inlineStr">
        <is>
          <t>high</t>
        </is>
      </c>
      <c r="E19" s="5" t="inlineStr">
        <is>
          <t>9个月流片、推理成本降约50%</t>
        </is>
      </c>
      <c r="F19" s="5" t="inlineStr">
        <is>
          <t>AI实验室转向定制硬件，去英伟达化加速，竞争进入模型+芯片+系统+网络时代</t>
        </is>
      </c>
      <c r="G19" s="5" t="inlineStr">
        <is>
          <t>https://www.esmchina.com/news/14297.html</t>
        </is>
      </c>
    </row>
    <row r="20">
      <c r="A20" s="4" t="inlineStr">
        <is>
          <t>2026-06-25</t>
        </is>
      </c>
      <c r="B20" s="5" t="inlineStr">
        <is>
          <t>美股科技股回调，纳指跌0.43%，AI估值与资本开支担忧持续</t>
        </is>
      </c>
      <c r="C20" s="5" t="inlineStr">
        <is>
          <t>美股</t>
        </is>
      </c>
      <c r="D20" s="5" t="inlineStr">
        <is>
          <t>high</t>
        </is>
      </c>
      <c r="E20" s="5" t="inlineStr">
        <is>
          <t>纳指-0.43%（25476.64）、标普-0.10%（7358.22）、道指+0.35%（51848.90）</t>
        </is>
      </c>
      <c r="F20" s="5" t="inlineStr">
        <is>
          <t>高估值与AI资本开支合理性仍是市场核心矛盾</t>
        </is>
      </c>
      <c r="G20" s="5" t="inlineStr">
        <is>
          <t>https://news.sina.com.cn/zx/2026-06-25/doc-inieqfvk2647425.shtml</t>
        </is>
      </c>
    </row>
    <row r="21">
      <c r="A21" s="4" t="inlineStr">
        <is>
          <t>2026-06-25</t>
        </is>
      </c>
      <c r="B21" s="5" t="inlineStr">
        <is>
          <t>黄仁勋：有用的AI已经到来，并且已经能够赚钱</t>
        </is>
      </c>
      <c r="C21" s="5" t="inlineStr">
        <is>
          <t>AI产业</t>
        </is>
      </c>
      <c r="D21" s="5" t="inlineStr">
        <is>
          <t>medium</t>
        </is>
      </c>
      <c r="E21" s="5" t="inlineStr">
        <is>
          <t>AI回报已有答案</t>
        </is>
      </c>
      <c r="F21" s="5" t="inlineStr">
        <is>
          <t>为AI芯片需求叙事提供支撑，但市场仍待财务数据验证</t>
        </is>
      </c>
      <c r="G21" s="5" t="inlineStr">
        <is>
          <t>https://news.sina.com.cn/zx/2026-06-25/doc-inieqfvk2647425.shtml</t>
        </is>
      </c>
    </row>
    <row r="22">
      <c r="A22" s="4" t="inlineStr">
        <is>
          <t>2026-06-25</t>
        </is>
      </c>
      <c r="B22" s="5" t="inlineStr">
        <is>
          <t>A股半导体芯片领涨，科创50涨超3%续创新高</t>
        </is>
      </c>
      <c r="C22" s="5" t="inlineStr">
        <is>
          <t>A股</t>
        </is>
      </c>
      <c r="D22" s="5" t="inlineStr">
        <is>
          <t>high</t>
        </is>
      </c>
      <c r="E22" s="5" t="inlineStr">
        <is>
          <t>科创50涨超3%、创业板指涨逾2%</t>
        </is>
      </c>
      <c r="F22" s="5" t="inlineStr">
        <is>
          <t>国产半导体自主可控叙事强化，资金持续流入科技成长板块</t>
        </is>
      </c>
      <c r="G22" s="5" t="inlineStr">
        <is>
          <t>https://www.cls.cn/detail/2408694</t>
        </is>
      </c>
    </row>
    <row r="23">
      <c r="A23" s="4" t="inlineStr">
        <is>
          <t>2026-06-25</t>
        </is>
      </c>
      <c r="B23" s="5" t="inlineStr">
        <is>
          <t>AI算力产业链迎超级周期，半导体ETF受关注</t>
        </is>
      </c>
      <c r="C23" s="5" t="inlineStr">
        <is>
          <t>产业</t>
        </is>
      </c>
      <c r="D23" s="5" t="inlineStr">
        <is>
          <t>medium</t>
        </is>
      </c>
      <c r="E23" s="5" t="inlineStr">
        <is>
          <t>半导体配置从概念转向业绩驱动</t>
        </is>
      </c>
      <c r="F23" s="5" t="inlineStr">
        <is>
          <t>产业链景气度向上，但需警惕短期估值过热</t>
        </is>
      </c>
      <c r="G23" s="5" t="inlineStr">
        <is>
          <t>https://finance.sina.com.cn/jjxw/2026-06-25/doc-inieqnce5847431.shtml</t>
        </is>
      </c>
    </row>
    <row r="24">
      <c r="A24" s="4" t="inlineStr">
        <is>
          <t>2026-06-24</t>
        </is>
      </c>
      <c r="B24" s="5" t="inlineStr">
        <is>
          <t>美股芯片股重挫：纳指跌超2%，费城半导体指数暴跌近8%</t>
        </is>
      </c>
      <c r="C24" s="5" t="inlineStr">
        <is>
          <t>半导体</t>
        </is>
      </c>
      <c r="D24" s="5" t="inlineStr">
        <is>
          <t>high</t>
        </is>
      </c>
      <c r="E24" s="5" t="inlineStr">
        <is>
          <t>纳指跌2.2%，费城半导体指数跌近8%</t>
        </is>
      </c>
      <c r="F24" s="5" t="inlineStr">
        <is>
          <t>AI算力投资遭市场重新审视</t>
        </is>
      </c>
      <c r="G24" s="5" t="inlineStr">
        <is>
          <t>https://www.stcn.com/article/detail/3975996.html</t>
        </is>
      </c>
    </row>
    <row r="25">
      <c r="A25" s="4" t="inlineStr">
        <is>
          <t>2026-06-24</t>
        </is>
      </c>
      <c r="B25" s="5" t="inlineStr">
        <is>
          <t>AI投资热潮遭重新审视，资本支出合理性受质疑</t>
        </is>
      </c>
      <c r="C25" s="5" t="inlineStr">
        <is>
          <t>AI</t>
        </is>
      </c>
      <c r="D25" s="5" t="inlineStr">
        <is>
          <t>high</t>
        </is>
      </c>
      <c r="E25" s="5" t="inlineStr">
        <is>
          <t>AI资本支出合理性受质疑，SpaceX暴跌16%</t>
        </is>
      </c>
      <c r="F25" s="5" t="inlineStr">
        <is>
          <t>AI投资从动量交易转向理性评估</t>
        </is>
      </c>
      <c r="G25" s="5" t="inlineStr">
        <is>
          <t>https://news.sina.com.cn/zx/2026-06-24/doc-iniemwqf8441358.shtml</t>
        </is>
      </c>
    </row>
    <row r="26">
      <c r="A26" s="4" t="inlineStr">
        <is>
          <t>2026-06-24</t>
        </is>
      </c>
      <c r="B26" s="5" t="inlineStr">
        <is>
          <t>人工智能让网络安全成为2026年稀缺性投资赛道</t>
        </is>
      </c>
      <c r="C26" s="5" t="inlineStr">
        <is>
          <t>AI安全</t>
        </is>
      </c>
      <c r="D26" s="5" t="inlineStr">
        <is>
          <t>high</t>
        </is>
      </c>
      <c r="E26" s="5" t="inlineStr">
        <is>
          <t>CrowdStrike八次创新高，Palo Alto涨228%</t>
        </is>
      </c>
      <c r="F26" s="5" t="inlineStr">
        <is>
          <t>AI安全赛道成为资金新宠</t>
        </is>
      </c>
      <c r="G26" s="5" t="inlineStr">
        <is>
          <t>https://finance.sina.com.cn/stock/usstock/summary/2026-06-24/doc-inienicz8321972.shtml</t>
        </is>
      </c>
    </row>
    <row r="27">
      <c r="A27" s="4" t="inlineStr">
        <is>
          <t>2026-06-24</t>
        </is>
      </c>
      <c r="B27" s="5" t="inlineStr">
        <is>
          <t>科创芯片设计ETF富国正在发行，2026是AI产业推理落地大年</t>
        </is>
      </c>
      <c r="C27" s="5" t="inlineStr">
        <is>
          <t>半导体</t>
        </is>
      </c>
      <c r="D27" s="5" t="inlineStr">
        <is>
          <t>medium</t>
        </is>
      </c>
      <c r="E27" s="5" t="inlineStr">
        <is>
          <t>成分股净利润增速超190%</t>
        </is>
      </c>
      <c r="F27" s="5" t="inlineStr">
        <is>
          <t>AI推理落地催化芯片设计需求</t>
        </is>
      </c>
      <c r="G27" s="5" t="inlineStr">
        <is>
          <t>https://finance.sina.com.cn/stock/stockzmt/2026-06-24/doc-inieniee6403635.shtml</t>
        </is>
      </c>
    </row>
    <row r="28">
      <c r="A28" s="4" t="inlineStr">
        <is>
          <t>2026-06-24</t>
        </is>
      </c>
      <c r="B28" s="5" t="inlineStr">
        <is>
          <t>港股半导体板块强势：华虹宏力飙升16%，中芯国际涨逾8%</t>
        </is>
      </c>
      <c r="C28" s="5" t="inlineStr">
        <is>
          <t>半导体</t>
        </is>
      </c>
      <c r="D28" s="5" t="inlineStr">
        <is>
          <t>high</t>
        </is>
      </c>
      <c r="E28" s="5" t="inlineStr">
        <is>
          <t>华虹宏力+16%，中芯国际+8%</t>
        </is>
      </c>
      <c r="F28" s="5" t="inlineStr">
        <is>
          <t>港股半导体与美股形成反差行情</t>
        </is>
      </c>
      <c r="G28" s="5" t="inlineStr">
        <is>
          <t>https://www.chnfund.com/article/81239efc-759a-c0a4-f963-3a2209f67748</t>
        </is>
      </c>
    </row>
    <row r="29">
      <c r="A29" s="4" t="inlineStr">
        <is>
          <t>2026-06-24</t>
        </is>
      </c>
      <c r="B29" s="5" t="inlineStr">
        <is>
          <t>A股券商板块延续涨势，28只成分股飘红</t>
        </is>
      </c>
      <c r="C29" s="5" t="inlineStr">
        <is>
          <t>股市</t>
        </is>
      </c>
      <c r="D29" s="5" t="inlineStr">
        <is>
          <t>medium</t>
        </is>
      </c>
      <c r="E29" s="5" t="inlineStr">
        <is>
          <t>28只券商股飘红，成交3.46万亿</t>
        </is>
      </c>
      <c r="F29" s="5" t="inlineStr">
        <is>
          <t>券商板块成为市场结构性亮点</t>
        </is>
      </c>
      <c r="G29" s="5" t="inlineStr">
        <is>
          <t>https://www.21jingji.com/article/20260624/herald/0428b1d2288ab2943276f43347a4174d.html</t>
        </is>
      </c>
    </row>
    <row r="30">
      <c r="A30" s="4" t="inlineStr">
        <is>
          <t>2026-06-23</t>
        </is>
      </c>
      <c r="B30" s="5" t="inlineStr">
        <is>
          <t>AI飞轮驱动加速半导体更多领域进入上行周期</t>
        </is>
      </c>
      <c r="C30" s="5" t="inlineStr">
        <is>
          <t>半导体</t>
        </is>
      </c>
      <c r="D30" s="5" t="inlineStr">
        <is>
          <t>high</t>
        </is>
      </c>
      <c r="E30" s="5" t="inlineStr">
        <is>
          <t>2026全球半导体超1.5万亿美元，内存缺口5%</t>
        </is>
      </c>
      <c r="F30" s="5" t="inlineStr">
        <is>
          <t>AI飞轮驱动多环节进入上行周期</t>
        </is>
      </c>
      <c r="G30" s="5" t="inlineStr">
        <is>
          <t>https://www.stcn.com/article/detail/3973285.html</t>
        </is>
      </c>
    </row>
    <row r="31">
      <c r="A31" s="4" t="inlineStr">
        <is>
          <t>2026-06-23</t>
        </is>
      </c>
      <c r="B31" s="5" t="inlineStr">
        <is>
          <t>AI算力新变局：谁能动英伟达奶酪</t>
        </is>
      </c>
      <c r="C31" s="5" t="inlineStr">
        <is>
          <t>AI算力</t>
        </is>
      </c>
      <c r="D31" s="5" t="inlineStr">
        <is>
          <t>high</t>
        </is>
      </c>
      <c r="E31" s="5" t="inlineStr">
        <is>
          <t>英伟达算力垄断面临多方挑战</t>
        </is>
      </c>
      <c r="F31" s="5" t="inlineStr">
        <is>
          <t>AI算力多元化竞争加速</t>
        </is>
      </c>
      <c r="G31" s="5" t="inlineStr">
        <is>
          <t>https://www.21jingji.com/article/20260623/herald/0aab3df2caeedc633acdef0dc0912cde.html</t>
        </is>
      </c>
    </row>
    <row r="32">
      <c r="A32" s="4" t="inlineStr">
        <is>
          <t>2026-06-23</t>
        </is>
      </c>
      <c r="B32" s="5" t="inlineStr">
        <is>
          <t>新洁能涨停：功率半导体+产品升级+AI需求增长</t>
        </is>
      </c>
      <c r="C32" s="5" t="inlineStr">
        <is>
          <t>半导体</t>
        </is>
      </c>
      <c r="D32" s="5" t="inlineStr">
        <is>
          <t>medium</t>
        </is>
      </c>
      <c r="E32" s="5" t="inlineStr">
        <is>
          <t>功率半导体涨停，AI数据中心需求驱动</t>
        </is>
      </c>
      <c r="F32" s="5" t="inlineStr">
        <is>
          <t>功率半导体板块受益AI需求</t>
        </is>
      </c>
      <c r="G32" s="5" t="inlineStr">
        <is>
          <t>https://finance.sina.com.cn/stock/aiassist/ydfx/2026-06-23/doc-iniekeey2076576.shtml</t>
        </is>
      </c>
    </row>
    <row r="33">
      <c r="A33" s="4" t="inlineStr">
        <is>
          <t>2026-06-23</t>
        </is>
      </c>
      <c r="B33" s="5" t="inlineStr">
        <is>
          <t>标普500历史首次站上7000点，纳指涨1.59%至24016点</t>
        </is>
      </c>
      <c r="C33" s="5" t="inlineStr">
        <is>
          <t>美股</t>
        </is>
      </c>
      <c r="D33" s="5" t="inlineStr">
        <is>
          <t>high</t>
        </is>
      </c>
      <c r="E33" s="5" t="inlineStr">
        <is>
          <t>标普首次站上7000点，纳指24016点</t>
        </is>
      </c>
      <c r="F33" s="5" t="inlineStr">
        <is>
          <t>美股科技+AI板块创新高</t>
        </is>
      </c>
      <c r="G33" s="5" t="inlineStr">
        <is>
          <t>https://www.cls.cn/detail/2345486</t>
        </is>
      </c>
    </row>
    <row r="34">
      <c r="A34" s="4" t="inlineStr">
        <is>
          <t>2026-06-23</t>
        </is>
      </c>
      <c r="B34" s="5" t="inlineStr">
        <is>
          <t>英伟达日线11连涨，AI算力龙头再创新高</t>
        </is>
      </c>
      <c r="C34" s="5" t="inlineStr">
        <is>
          <t>半导体</t>
        </is>
      </c>
      <c r="D34" s="5" t="inlineStr">
        <is>
          <t>high</t>
        </is>
      </c>
      <c r="E34" s="5" t="inlineStr">
        <is>
          <t>英伟达日线11连涨</t>
        </is>
      </c>
      <c r="F34" s="5" t="inlineStr">
        <is>
          <t>AI算力龙头持续创新高</t>
        </is>
      </c>
      <c r="G34" s="5" t="inlineStr">
        <is>
          <t>https://www.cls.cn/detail/2345486</t>
        </is>
      </c>
    </row>
    <row r="35">
      <c r="A35" s="4" t="inlineStr">
        <is>
          <t>2026-06-23</t>
        </is>
      </c>
      <c r="B35" s="5" t="inlineStr">
        <is>
          <t>港股午盘走低：恒指跌1.13%，科技指数重挫2.21%</t>
        </is>
      </c>
      <c r="C35" s="5" t="inlineStr">
        <is>
          <t>港股</t>
        </is>
      </c>
      <c r="D35" s="5" t="inlineStr">
        <is>
          <t>medium</t>
        </is>
      </c>
      <c r="E35" s="5" t="inlineStr">
        <is>
          <t>恒指跌1.13%，恒科跌2.21%</t>
        </is>
      </c>
      <c r="F35" s="5" t="inlineStr">
        <is>
          <t>港股科技板块回调</t>
        </is>
      </c>
      <c r="G35" s="5" t="inlineStr">
        <is>
          <t>https://www.cls.cn/detail/2406512</t>
        </is>
      </c>
    </row>
    <row r="36">
      <c r="A36" s="4" t="inlineStr">
        <is>
          <t>2026-06-22</t>
        </is>
      </c>
      <c r="B36" s="5" t="inlineStr">
        <is>
          <t>科创板第五套标准扩围至AI大模型企业</t>
        </is>
      </c>
      <c r="C36" s="5" t="inlineStr">
        <is>
          <t>政策/AI</t>
        </is>
      </c>
      <c r="D36" s="5" t="inlineStr">
        <is>
          <t>high</t>
        </is>
      </c>
      <c r="E36" s="5" t="inlineStr">
        <is>
          <t>科创板第五套标准扩容AI大模型</t>
        </is>
      </c>
      <c r="F36" s="5" t="inlineStr">
        <is>
          <t>国产大模型核心资产A股定价通道打开</t>
        </is>
      </c>
      <c r="G36" s="5" t="inlineStr">
        <is>
          <t>https://www.stcn.com/article/detail/3967608.html</t>
        </is>
      </c>
    </row>
    <row r="37">
      <c r="A37" s="4" t="inlineStr">
        <is>
          <t>2026-06-22</t>
        </is>
      </c>
      <c r="B37" s="5" t="inlineStr">
        <is>
          <t>智谱股价大涨超40%，市值突破万亿港元</t>
        </is>
      </c>
      <c r="C37" s="5" t="inlineStr">
        <is>
          <t>AI融资</t>
        </is>
      </c>
      <c r="D37" s="5" t="inlineStr">
        <is>
          <t>high</t>
        </is>
      </c>
      <c r="E37" s="5" t="inlineStr">
        <is>
          <t>智谱市值破万亿港元</t>
        </is>
      </c>
      <c r="F37" s="5" t="inlineStr">
        <is>
          <t>全球首家万亿市值大模型公司诞生</t>
        </is>
      </c>
      <c r="G37" s="5" t="inlineStr">
        <is>
          <t>https://www.stcn.com/article/detail/3971526.html</t>
        </is>
      </c>
    </row>
    <row r="38">
      <c r="A38" s="4" t="inlineStr">
        <is>
          <t>2026-06-22</t>
        </is>
      </c>
      <c r="B38" s="5" t="inlineStr">
        <is>
          <t>MiniMax涨超20%，港股AI大模型双子星闪耀</t>
        </is>
      </c>
      <c r="C38" s="5" t="inlineStr">
        <is>
          <t>AI融资</t>
        </is>
      </c>
      <c r="D38" s="5" t="inlineStr">
        <is>
          <t>high</t>
        </is>
      </c>
      <c r="E38" s="5" t="inlineStr">
        <is>
          <t>MiniMax涨20.2%</t>
        </is>
      </c>
      <c r="F38" s="5" t="inlineStr">
        <is>
          <t>港股成为国产大模型估值发现重要战场</t>
        </is>
      </c>
      <c r="G38" s="5" t="inlineStr">
        <is>
          <t>https://www.forbeschina.com/business/71767</t>
        </is>
      </c>
    </row>
    <row r="39">
      <c r="A39" s="4" t="inlineStr">
        <is>
          <t>2026-06-22</t>
        </is>
      </c>
      <c r="B39" s="5" t="inlineStr">
        <is>
          <t>AI芯片需求推动韩国6月上旬出口强劲增长</t>
        </is>
      </c>
      <c r="C39" s="5" t="inlineStr">
        <is>
          <t>半导体</t>
        </is>
      </c>
      <c r="D39" s="5" t="inlineStr">
        <is>
          <t>medium</t>
        </is>
      </c>
      <c r="E39" s="5" t="inlineStr">
        <is>
          <t>韩国半导体出口双位数增长</t>
        </is>
      </c>
      <c r="F39" s="5" t="inlineStr">
        <is>
          <t>AI算力上游存储和先进封装持续景气</t>
        </is>
      </c>
      <c r="G39" s="5" t="inlineStr">
        <is>
          <t>https://finance.sina.com.cn/stock/bxjj/2026-06-22/doc-iniehfpu0324852.shtml</t>
        </is>
      </c>
    </row>
    <row r="40">
      <c r="A40" s="4" t="inlineStr">
        <is>
          <t>2026-06-22</t>
        </is>
      </c>
      <c r="B40" s="5" t="inlineStr">
        <is>
          <t>AI需求外溢至制造环节，半导体设备ETF涨近3%</t>
        </is>
      </c>
      <c r="C40" s="5" t="inlineStr">
        <is>
          <t>半导体</t>
        </is>
      </c>
      <c r="D40" s="5" t="inlineStr">
        <is>
          <t>medium</t>
        </is>
      </c>
      <c r="E40" s="5" t="inlineStr">
        <is>
          <t>半导体设备ETF涨2.94%</t>
        </is>
      </c>
      <c r="F40" s="5" t="inlineStr">
        <is>
          <t>国产半导体设备迎AI需求+自主可控双重催化</t>
        </is>
      </c>
      <c r="G40" s="5" t="inlineStr">
        <is>
          <t>https://www.nbd.com.cn/articles/2026-06-22/4432542.html</t>
        </is>
      </c>
    </row>
    <row r="41">
      <c r="A41" s="4" t="inlineStr">
        <is>
          <t>2026-06-18</t>
        </is>
      </c>
      <c r="B41" s="5" t="inlineStr">
        <is>
          <t>全球半导体股单日蒸发1.3万亿美元创历史最大跌幅</t>
        </is>
      </c>
      <c r="C41" s="5" t="inlineStr">
        <is>
          <t>半导体</t>
        </is>
      </c>
      <c r="D41" s="5" t="inlineStr">
        <is>
          <t>high</t>
        </is>
      </c>
      <c r="E41" s="5" t="inlineStr"/>
      <c r="F41" s="5" t="inlineStr"/>
      <c r="G41" s="5" t="inlineStr">
        <is>
          <t>Reuters</t>
        </is>
      </c>
    </row>
    <row r="42">
      <c r="A42" s="4" t="inlineStr">
        <is>
          <t>2026-06-18</t>
        </is>
      </c>
      <c r="B42" s="5" t="inlineStr">
        <is>
          <t>英特尔18A制程至强6+处理器发布，单线程领先AMD 30%</t>
        </is>
      </c>
      <c r="C42" s="5" t="inlineStr">
        <is>
          <t>半导体</t>
        </is>
      </c>
      <c r="D42" s="5" t="inlineStr">
        <is>
          <t>high</t>
        </is>
      </c>
      <c r="E42" s="5" t="inlineStr"/>
      <c r="F42" s="5" t="inlineStr"/>
      <c r="G42" s="5" t="inlineStr">
        <is>
          <t>Intel Newsroom</t>
        </is>
      </c>
    </row>
    <row r="43">
      <c r="A43" s="4" t="inlineStr">
        <is>
          <t>2026-06-18</t>
        </is>
      </c>
      <c r="B43" s="5" t="inlineStr">
        <is>
          <t>台积电全力扩产AI芯片，释放涨价信号</t>
        </is>
      </c>
      <c r="C43" s="5" t="inlineStr">
        <is>
          <t>半导体</t>
        </is>
      </c>
      <c r="D43" s="5" t="inlineStr">
        <is>
          <t>high</t>
        </is>
      </c>
      <c r="E43" s="5" t="inlineStr"/>
      <c r="F43" s="5" t="inlineStr"/>
      <c r="G43" s="5" t="inlineStr">
        <is>
          <t>Reuters</t>
        </is>
      </c>
    </row>
    <row r="44">
      <c r="A44" s="4" t="inlineStr">
        <is>
          <t>2026-06-18</t>
        </is>
      </c>
      <c r="B44" s="5" t="inlineStr">
        <is>
          <t>Anthropic Claude Opus 4.8基准全面超越GPT-5.5</t>
        </is>
      </c>
      <c r="C44" s="5" t="inlineStr">
        <is>
          <t>AI</t>
        </is>
      </c>
      <c r="D44" s="5" t="inlineStr">
        <is>
          <t>high</t>
        </is>
      </c>
      <c r="E44" s="5" t="inlineStr"/>
      <c r="F44" s="5" t="inlineStr"/>
      <c r="G44" s="5" t="inlineStr">
        <is>
          <t>CodingFleet</t>
        </is>
      </c>
    </row>
    <row r="45">
      <c r="A45" s="4" t="inlineStr">
        <is>
          <t>2026-06-18</t>
        </is>
      </c>
      <c r="B45" s="5" t="inlineStr">
        <is>
          <t>Anthropic完成9650亿美元估值融资，年收入飙至300亿美元</t>
        </is>
      </c>
      <c r="C45" s="5" t="inlineStr">
        <is>
          <t>AI融资</t>
        </is>
      </c>
      <c r="D45" s="5" t="inlineStr">
        <is>
          <t>high</t>
        </is>
      </c>
      <c r="E45" s="5" t="inlineStr"/>
      <c r="F45" s="5" t="inlineStr"/>
      <c r="G45" s="5" t="inlineStr">
        <is>
          <t>TechWire Asia</t>
        </is>
      </c>
    </row>
    <row r="46">
      <c r="A46" s="4" t="inlineStr">
        <is>
          <t>2026-06-18</t>
        </is>
      </c>
      <c r="B46" s="5" t="inlineStr">
        <is>
          <t>谷歌Gemini 3.5 Pro即将发布，200万Token上下文+Deep Think</t>
        </is>
      </c>
      <c r="C46" s="5" t="inlineStr">
        <is>
          <t>AI</t>
        </is>
      </c>
      <c r="D46" s="5" t="inlineStr">
        <is>
          <t>high</t>
        </is>
      </c>
      <c r="E46" s="5" t="inlineStr"/>
      <c r="F46" s="5" t="inlineStr"/>
      <c r="G46" s="5" t="inlineStr">
        <is>
          <t>TechTimes</t>
        </is>
      </c>
    </row>
    <row r="47">
      <c r="A47" s="4" t="inlineStr">
        <is>
          <t>2026-06-18</t>
        </is>
      </c>
      <c r="B47" s="5" t="inlineStr">
        <is>
          <t>OpenAI转向企业市场，苹果谷歌争夺消费级AI入口</t>
        </is>
      </c>
      <c r="C47" s="5" t="inlineStr">
        <is>
          <t>AI</t>
        </is>
      </c>
      <c r="D47" s="5" t="inlineStr">
        <is>
          <t>medium</t>
        </is>
      </c>
      <c r="E47" s="5" t="inlineStr"/>
      <c r="F47" s="5" t="inlineStr"/>
      <c r="G47" s="5" t="inlineStr">
        <is>
          <t>CNBC</t>
        </is>
      </c>
    </row>
    <row r="48">
      <c r="A48" s="4" t="inlineStr">
        <is>
          <t>2026-06-15</t>
        </is>
      </c>
      <c r="B48" s="5" t="inlineStr">
        <is>
          <t>韩国投入8000亿韩元加速开发国产在线设备AI半导体</t>
        </is>
      </c>
      <c r="C48" s="5" t="inlineStr">
        <is>
          <t>半导体</t>
        </is>
      </c>
      <c r="D48" s="5" t="inlineStr">
        <is>
          <t>high</t>
        </is>
      </c>
      <c r="E48" s="5" t="inlineStr"/>
      <c r="F48" s="5" t="inlineStr"/>
      <c r="G48" s="5" t="inlineStr">
        <is>
          <t>亚洲日报</t>
        </is>
      </c>
    </row>
    <row r="49">
      <c r="A49" s="4" t="inlineStr">
        <is>
          <t>2026-06-15</t>
        </is>
      </c>
      <c r="B49" s="5" t="inlineStr">
        <is>
          <t>国产AI芯片巨头6月15日上会审核</t>
        </is>
      </c>
      <c r="C49" s="5" t="inlineStr">
        <is>
          <t>半导体/IPO</t>
        </is>
      </c>
      <c r="D49" s="5" t="inlineStr">
        <is>
          <t>high</t>
        </is>
      </c>
      <c r="E49" s="5" t="inlineStr"/>
      <c r="F49" s="5" t="inlineStr"/>
      <c r="G49" s="5" t="inlineStr">
        <is>
          <t>东方财富</t>
        </is>
      </c>
    </row>
    <row r="50">
      <c r="A50" s="4" t="inlineStr">
        <is>
          <t>2026-06-15</t>
        </is>
      </c>
      <c r="B50" s="5" t="inlineStr">
        <is>
          <t>WSTS预测2026年全球半导体市场增长90%达1.3万亿美元</t>
        </is>
      </c>
      <c r="C50" s="5" t="inlineStr">
        <is>
          <t>半导体</t>
        </is>
      </c>
      <c r="D50" s="5" t="inlineStr">
        <is>
          <t>high</t>
        </is>
      </c>
      <c r="E50" s="5" t="inlineStr"/>
      <c r="F50" s="5" t="inlineStr"/>
      <c r="G50" s="5" t="inlineStr">
        <is>
          <t>WSTS</t>
        </is>
      </c>
    </row>
    <row r="51">
      <c r="A51" s="4" t="inlineStr">
        <is>
          <t>2026-06-15</t>
        </is>
      </c>
      <c r="B51" s="5" t="inlineStr">
        <is>
          <t>AI拉动芯片需求，半导体ETF涨3.35%</t>
        </is>
      </c>
      <c r="C51" s="5" t="inlineStr">
        <is>
          <t>半导体</t>
        </is>
      </c>
      <c r="D51" s="5" t="inlineStr">
        <is>
          <t>medium</t>
        </is>
      </c>
      <c r="E51" s="5" t="inlineStr"/>
      <c r="F51" s="5" t="inlineStr"/>
      <c r="G51" s="5" t="inlineStr">
        <is>
          <t>财闻网</t>
        </is>
      </c>
    </row>
    <row r="52">
      <c r="A52" s="4" t="inlineStr">
        <is>
          <t>2026-06-15</t>
        </is>
      </c>
      <c r="B52" s="5" t="inlineStr">
        <is>
          <t>深证成指、创业板指等指数6月15日调整样本股</t>
        </is>
      </c>
      <c r="C52" s="5" t="inlineStr">
        <is>
          <t>股市</t>
        </is>
      </c>
      <c r="D52" s="5" t="inlineStr">
        <is>
          <t>medium</t>
        </is>
      </c>
      <c r="E52" s="5" t="inlineStr"/>
      <c r="F52" s="5" t="inlineStr"/>
      <c r="G52" s="5" t="inlineStr">
        <is>
          <t>深圳证券信息有限公司</t>
        </is>
      </c>
    </row>
    <row r="53">
      <c r="A53" s="4" t="inlineStr">
        <is>
          <t>2026-06-15</t>
        </is>
      </c>
      <c r="B53" s="5" t="inlineStr">
        <is>
          <t>蜜雪冰城以极致性价比模式进军纽约市场</t>
        </is>
      </c>
      <c r="C53" s="5" t="inlineStr">
        <is>
          <t>消费品牌</t>
        </is>
      </c>
      <c r="D53" s="5" t="inlineStr">
        <is>
          <t>high</t>
        </is>
      </c>
      <c r="E53" s="5" t="inlineStr"/>
      <c r="F53" s="5" t="inlineStr"/>
      <c r="G53" s="5" t="inlineStr">
        <is>
          <t>财经客户端</t>
        </is>
      </c>
    </row>
    <row r="54">
      <c r="A54" s="4" t="inlineStr">
        <is>
          <t>2026-06-15</t>
        </is>
      </c>
      <c r="B54" s="5" t="inlineStr">
        <is>
          <t>AI半导体板块6月遭遇剧烈抛售，单日市值蒸发约1.4万亿美元</t>
        </is>
      </c>
      <c r="C54" s="5" t="inlineStr">
        <is>
          <t>半导体</t>
        </is>
      </c>
      <c r="D54" s="5" t="inlineStr">
        <is>
          <t>high</t>
        </is>
      </c>
      <c r="E54" s="5" t="inlineStr"/>
      <c r="F54" s="5" t="inlineStr"/>
      <c r="G54" s="5" t="inlineStr">
        <is>
          <t>Reuters, Intellectia.ai</t>
        </is>
      </c>
    </row>
    <row r="55">
      <c r="A55" s="4" t="inlineStr">
        <is>
          <t>2026-06-15</t>
        </is>
      </c>
      <c r="B55" s="5" t="inlineStr">
        <is>
          <t>Arm有望提前达成150亿美元AI芯片年收入目标</t>
        </is>
      </c>
      <c r="C55" s="5" t="inlineStr">
        <is>
          <t>半导体</t>
        </is>
      </c>
      <c r="D55" s="5" t="inlineStr">
        <is>
          <t>high</t>
        </is>
      </c>
      <c r="E55" s="5" t="inlineStr"/>
      <c r="F55" s="5" t="inlineStr"/>
      <c r="G55" s="5" t="inlineStr">
        <is>
          <t>Bloomberg, CNBC</t>
        </is>
      </c>
    </row>
    <row r="56">
      <c r="A56" s="4" t="inlineStr">
        <is>
          <t>2026-06-15</t>
        </is>
      </c>
      <c r="B56" s="5" t="inlineStr">
        <is>
          <t>苹果WWDC 2026发布全新Siri AI独立应用，深度整合Google Gemini</t>
        </is>
      </c>
      <c r="C56" s="5" t="inlineStr">
        <is>
          <t>AI产品</t>
        </is>
      </c>
      <c r="D56" s="5" t="inlineStr">
        <is>
          <t>high</t>
        </is>
      </c>
      <c r="E56" s="5" t="inlineStr"/>
      <c r="F56" s="5" t="inlineStr"/>
      <c r="G56" s="5" t="inlineStr">
        <is>
          <t>Apple Newsroom, TechCrunch</t>
        </is>
      </c>
    </row>
    <row r="57">
      <c r="A57" s="4" t="inlineStr">
        <is>
          <t>2026-06-12</t>
        </is>
      </c>
      <c r="B57" s="5" t="inlineStr">
        <is>
          <t>美国商务部新规封堵AI芯片流向中企海外分支</t>
        </is>
      </c>
      <c r="C57" s="5" t="inlineStr">
        <is>
          <t>芯片出口管制</t>
        </is>
      </c>
      <c r="D57" s="5" t="inlineStr">
        <is>
          <t>high</t>
        </is>
      </c>
      <c r="E57" s="5" t="inlineStr"/>
      <c r="F57" s="5" t="inlineStr"/>
      <c r="G57" s="5" t="inlineStr">
        <is>
          <t>Reuters</t>
        </is>
      </c>
    </row>
    <row r="58">
      <c r="A58" s="4" t="inlineStr">
        <is>
          <t>2026-06-12</t>
        </is>
      </c>
      <c r="B58" s="5" t="inlineStr">
        <is>
          <t>英伟达CEO黄仁勋拒绝出席参议院AI芯片出口听证会</t>
        </is>
      </c>
      <c r="C58" s="5" t="inlineStr">
        <is>
          <t>AI芯片</t>
        </is>
      </c>
      <c r="D58" s="5" t="inlineStr">
        <is>
          <t>high</t>
        </is>
      </c>
      <c r="E58" s="5" t="inlineStr"/>
      <c r="F58" s="5" t="inlineStr"/>
      <c r="G58" s="5" t="inlineStr">
        <is>
          <t>CNBC</t>
        </is>
      </c>
    </row>
    <row r="59">
      <c r="A59" s="4" t="inlineStr">
        <is>
          <t>2026-06-12</t>
        </is>
      </c>
      <c r="B59" s="5" t="inlineStr">
        <is>
          <t>苹果WWDC 2026发布Google Gemini驱动的全新Siri AI</t>
        </is>
      </c>
      <c r="C59" s="5" t="inlineStr">
        <is>
          <t>AI产品</t>
        </is>
      </c>
      <c r="D59" s="5" t="inlineStr">
        <is>
          <t>high</t>
        </is>
      </c>
      <c r="E59" s="5" t="inlineStr"/>
      <c r="F59" s="5" t="inlineStr"/>
      <c r="G59" s="5" t="inlineStr">
        <is>
          <t>TechCrunch</t>
        </is>
      </c>
    </row>
    <row r="60">
      <c r="A60" s="4" t="inlineStr">
        <is>
          <t>2026-06-12</t>
        </is>
      </c>
      <c r="B60" s="5" t="inlineStr">
        <is>
          <t>Anthropic秘密提交S-1，估值9650亿美元逼近万亿</t>
        </is>
      </c>
      <c r="C60" s="5" t="inlineStr">
        <is>
          <t>AI融资/IPO</t>
        </is>
      </c>
      <c r="D60" s="5" t="inlineStr">
        <is>
          <t>high</t>
        </is>
      </c>
      <c r="E60" s="5" t="inlineStr"/>
      <c r="F60" s="5" t="inlineStr"/>
      <c r="G60" s="5" t="inlineStr">
        <is>
          <t>TechCrunch</t>
        </is>
      </c>
    </row>
    <row r="61">
      <c r="A61" s="4" t="inlineStr">
        <is>
          <t>2026-06-12</t>
        </is>
      </c>
      <c r="B61" s="5" t="inlineStr">
        <is>
          <t>费城半导体指数连续大涨，芯片股创一年最佳表现</t>
        </is>
      </c>
      <c r="C61" s="5" t="inlineStr">
        <is>
          <t>半导体</t>
        </is>
      </c>
      <c r="D61" s="5" t="inlineStr">
        <is>
          <t>medium</t>
        </is>
      </c>
      <c r="E61" s="5" t="inlineStr"/>
      <c r="F61" s="5" t="inlineStr"/>
      <c r="G61" s="5" t="inlineStr">
        <is>
          <t>TradingView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2026-06-30T01:24:24Z</dcterms:created>
  <dcterms:modified xmlns:dcterms="http://purl.org/dc/terms/" xmlns:xsi="http://www.w3.org/2001/XMLSchema-instance" xsi:type="dcterms:W3CDTF">2026-06-30T01:24:24Z</dcterms:modified>
</cp:coreProperties>
</file>