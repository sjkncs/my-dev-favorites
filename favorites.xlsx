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概览" sheetId="1" state="visible" r:id="rId1"/>
    <sheet xmlns:r="http://schemas.openxmlformats.org/officeDocument/2006/relationships" name="消费品牌AI" sheetId="2" state="visible" r:id="rId2"/>
    <sheet xmlns:r="http://schemas.openxmlformats.org/officeDocument/2006/relationships" name="AI大模型" sheetId="3" state="visible" r:id="rId3"/>
    <sheet xmlns:r="http://schemas.openxmlformats.org/officeDocument/2006/relationships" name="股市趋势" sheetId="4" state="visible" r:id="rId4"/>
    <sheet xmlns:r="http://schemas.openxmlformats.org/officeDocument/2006/relationships" name="半导体指标" sheetId="5" state="visible" r:id="rId5"/>
    <sheet xmlns:r="http://schemas.openxmlformats.org/officeDocument/2006/relationships" name="顶会论文" sheetId="6" state="visible" r:id="rId6"/>
    <sheet xmlns:r="http://schemas.openxmlformats.org/officeDocument/2006/relationships" name="科技新闻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4E78"/>
      <sz val="16"/>
    </font>
    <font>
      <b val="1"/>
      <color rgb="001F4E78"/>
      <sz val="12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ill>
        <patternFill patternType="solid">
          <fgColor rgb="00FFD700"/>
        </patternFill>
      </fill>
    </dxf>
    <dxf>
      <fill>
        <patternFill patternType="solid">
          <fgColor rgb="00C0C0C0"/>
        </patternFill>
      </fill>
    </dxf>
    <dxf>
      <fill>
        <patternFill patternType="solid">
          <fgColor rgb="00CD7F3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消费品牌AI能力雷达图</a:t>
            </a:r>
          </a:p>
        </rich>
      </tx>
    </title>
    <plotArea>
      <radarChart>
        <radarStyle val="filled"/>
        <ser>
          <idx val="0"/>
          <order val="0"/>
          <tx>
            <strRef>
              <f>'消费品牌AI'!C21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'消费品牌AI'!$B$22:$B$26</f>
            </numRef>
          </cat>
          <val>
            <numRef>
              <f>'消费品牌AI'!$C$22:$C$26</f>
            </numRef>
          </val>
        </ser>
        <ser>
          <idx val="1"/>
          <order val="1"/>
          <tx>
            <strRef>
              <f>'消费品牌AI'!D21</f>
            </strRef>
          </tx>
          <spPr>
            <a:solidFill xmlns:a="http://schemas.openxmlformats.org/drawingml/2006/main">
              <a:srgbClr val="3498DB"/>
            </a:solidFill>
            <a:ln xmlns:a="http://schemas.openxmlformats.org/drawingml/2006/main">
              <a:solidFill>
                <a:srgbClr val="3498D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'消费品牌AI'!$B$22:$B$26</f>
            </numRef>
          </cat>
          <val>
            <numRef>
              <f>'消费品牌AI'!$D$22:$D$26</f>
            </numRef>
          </val>
        </ser>
        <ser>
          <idx val="2"/>
          <order val="2"/>
          <tx>
            <strRef>
              <f>'消费品牌AI'!E21</f>
            </strRef>
          </tx>
          <spPr>
            <a:solidFill xmlns:a="http://schemas.openxmlformats.org/drawingml/2006/main">
              <a:srgbClr val="2ECC71"/>
            </a:solidFill>
            <a:ln xmlns:a="http://schemas.openxmlformats.org/drawingml/2006/main">
              <a:solidFill>
                <a:srgbClr val="2ECC7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'消费品牌AI'!$B$22:$B$26</f>
            </numRef>
          </cat>
          <val>
            <numRef>
              <f>'消费品牌AI'!$E$22:$E$26</f>
            </numRef>
          </val>
        </ser>
        <ser>
          <idx val="3"/>
          <order val="3"/>
          <tx>
            <strRef>
              <f>'消费品牌AI'!F21</f>
            </strRef>
          </tx>
          <spPr>
            <a:solidFill xmlns:a="http://schemas.openxmlformats.org/drawingml/2006/main">
              <a:srgbClr val="9B59B6"/>
            </a:solidFill>
            <a:ln xmlns:a="http://schemas.openxmlformats.org/drawingml/2006/main">
              <a:solidFill>
                <a:srgbClr val="9B59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'消费品牌AI'!$B$22:$B$26</f>
            </numRef>
          </cat>
          <val>
            <numRef>
              <f>'消费品牌AI'!$F$22:$F$26</f>
            </numRef>
          </val>
        </ser>
        <ser>
          <idx val="4"/>
          <order val="4"/>
          <tx>
            <strRef>
              <f>'消费品牌AI'!G21</f>
            </strRef>
          </tx>
          <spPr>
            <a:solidFill xmlns:a="http://schemas.openxmlformats.org/drawingml/2006/main">
              <a:srgbClr val="E67E22"/>
            </a:solidFill>
            <a:ln xmlns:a="http://schemas.openxmlformats.org/drawingml/2006/main">
              <a:solidFill>
                <a:srgbClr val="E67E2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'消费品牌AI'!$B$22:$B$26</f>
            </numRef>
          </cat>
          <val>
            <numRef>
              <f>'消费品牌AI'!$G$22:$G$26</f>
            </numRef>
          </val>
        </ser>
        <ser>
          <idx val="5"/>
          <order val="5"/>
          <tx>
            <strRef>
              <f>'消费品牌AI'!H21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'消费品牌AI'!$B$22:$B$26</f>
            </numRef>
          </cat>
          <val>
            <numRef>
              <f>'消费品牌AI'!$H$22:$H$26</f>
            </numRef>
          </val>
        </ser>
        <ser>
          <idx val="6"/>
          <order val="6"/>
          <tx>
            <strRef>
              <f>'消费品牌AI'!I21</f>
            </strRef>
          </tx>
          <spPr>
            <a:solidFill xmlns:a="http://schemas.openxmlformats.org/drawingml/2006/main">
              <a:srgbClr val="F1C40F"/>
            </a:solidFill>
            <a:ln xmlns:a="http://schemas.openxmlformats.org/drawingml/2006/main">
              <a:solidFill>
                <a:srgbClr val="F1C40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'消费品牌AI'!$B$22:$B$26</f>
            </numRef>
          </cat>
          <val>
            <numRef>
              <f>'消费品牌AI'!$I$22:$I$26</f>
            </numRef>
          </val>
        </ser>
        <ser>
          <idx val="7"/>
          <order val="7"/>
          <tx>
            <strRef>
              <f>'消费品牌AI'!J21</f>
            </strRef>
          </tx>
          <spPr>
            <a:solidFill xmlns:a="http://schemas.openxmlformats.org/drawingml/2006/main">
              <a:srgbClr val="E91E63"/>
            </a:solidFill>
            <a:ln xmlns:a="http://schemas.openxmlformats.org/drawingml/2006/main">
              <a:solidFill>
                <a:srgbClr val="E91E6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'消费品牌AI'!$B$22:$B$26</f>
            </numRef>
          </cat>
          <val>
            <numRef>
              <f>'消费品牌AI'!$J$22:$J$26</f>
            </numRef>
          </val>
        </ser>
        <ser>
          <idx val="8"/>
          <order val="8"/>
          <tx>
            <strRef>
              <f>'消费品牌AI'!K21</f>
            </strRef>
          </tx>
          <spPr>
            <a:solidFill xmlns:a="http://schemas.openxmlformats.org/drawingml/2006/main">
              <a:srgbClr val="00BCD4"/>
            </a:solidFill>
            <a:ln xmlns:a="http://schemas.openxmlformats.org/drawingml/2006/main">
              <a:solidFill>
                <a:srgbClr val="00BCD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'消费品牌AI'!$B$22:$B$26</f>
            </numRef>
          </cat>
          <val>
            <numRef>
              <f>'消费品牌AI'!$K$22:$K$26</f>
            </numRef>
          </val>
        </ser>
        <ser>
          <idx val="9"/>
          <order val="9"/>
          <tx>
            <strRef>
              <f>'消费品牌AI'!L21</f>
            </strRef>
          </tx>
          <spPr>
            <a:solidFill xmlns:a="http://schemas.openxmlformats.org/drawingml/2006/main">
              <a:srgbClr val="FF5722"/>
            </a:solidFill>
            <a:ln xmlns:a="http://schemas.openxmlformats.org/drawingml/2006/main">
              <a:solidFill>
                <a:srgbClr val="FF572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'消费品牌AI'!$B$22:$B$26</f>
            </numRef>
          </cat>
          <val>
            <numRef>
              <f>'消费品牌AI'!$L$22:$L$26</f>
            </numRef>
          </val>
        </ser>
        <ser>
          <idx val="10"/>
          <order val="10"/>
          <tx>
            <strRef>
              <f>'消费品牌AI'!M21</f>
            </strRef>
          </tx>
          <spPr>
            <a:solidFill xmlns:a="http://schemas.openxmlformats.org/drawingml/2006/main">
              <a:srgbClr val="795548"/>
            </a:solidFill>
            <a:ln xmlns:a="http://schemas.openxmlformats.org/drawingml/2006/main">
              <a:solidFill>
                <a:srgbClr val="7955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'消费品牌AI'!$B$22:$B$26</f>
            </numRef>
          </cat>
          <val>
            <numRef>
              <f>'消费品牌AI'!$M$22:$M$26</f>
            </numRef>
          </val>
        </ser>
        <ser>
          <idx val="11"/>
          <order val="11"/>
          <tx>
            <strRef>
              <f>'消费品牌AI'!N21</f>
            </strRef>
          </tx>
          <spPr>
            <a:solidFill xmlns:a="http://schemas.openxmlformats.org/drawingml/2006/main">
              <a:srgbClr val="607D8B"/>
            </a:solidFill>
            <a:ln xmlns:a="http://schemas.openxmlformats.org/drawingml/2006/main">
              <a:solidFill>
                <a:srgbClr val="607D8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'消费品牌AI'!$B$22:$B$26</f>
            </numRef>
          </cat>
          <val>
            <numRef>
              <f>'消费品牌AI'!$N$22:$N$26</f>
            </numRef>
          </val>
        </ser>
        <ser>
          <idx val="12"/>
          <order val="12"/>
          <tx>
            <strRef>
              <f>'消费品牌AI'!O21</f>
            </strRef>
          </tx>
          <spPr>
            <a:solidFill xmlns:a="http://schemas.openxmlformats.org/drawingml/2006/main">
              <a:srgbClr val="8BC34A"/>
            </a:solidFill>
            <a:ln xmlns:a="http://schemas.openxmlformats.org/drawingml/2006/main">
              <a:solidFill>
                <a:srgbClr val="8BC34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'消费品牌AI'!$B$22:$B$26</f>
            </numRef>
          </cat>
          <val>
            <numRef>
              <f>'消费品牌AI'!$O$22:$O$26</f>
            </numRef>
          </val>
        </ser>
        <ser>
          <idx val="13"/>
          <order val="13"/>
          <tx>
            <strRef>
              <f>'消费品牌AI'!P21</f>
            </strRef>
          </tx>
          <spPr>
            <a:solidFill xmlns:a="http://schemas.openxmlformats.org/drawingml/2006/main">
              <a:srgbClr val="FFC107"/>
            </a:solidFill>
            <a:ln xmlns:a="http://schemas.openxmlformats.org/drawingml/2006/main">
              <a:solidFill>
                <a:srgbClr val="FFC10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'消费品牌AI'!$B$22:$B$26</f>
            </numRef>
          </cat>
          <val>
            <numRef>
              <f>'消费品牌AI'!$P$22:$P$26</f>
            </numRef>
          </val>
        </ser>
        <ser>
          <idx val="14"/>
          <order val="14"/>
          <tx>
            <strRef>
              <f>'消费品牌AI'!Q21</f>
            </strRef>
          </tx>
          <spPr>
            <a:solidFill xmlns:a="http://schemas.openxmlformats.org/drawingml/2006/main">
              <a:srgbClr val="03A9F4"/>
            </a:solidFill>
            <a:ln xmlns:a="http://schemas.openxmlformats.org/drawingml/2006/main">
              <a:solidFill>
                <a:srgbClr val="03A9F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'消费品牌AI'!$B$22:$B$26</f>
            </numRef>
          </cat>
          <val>
            <numRef>
              <f>'消费品牌AI'!$Q$22:$Q$26</f>
            </numRef>
          </val>
        </ser>
        <axId val="10"/>
        <axId val="100"/>
      </rad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API定价对比 ($/1M tokens)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'AI大模型'!I3</f>
            </strRef>
          </tx>
          <spPr>
            <a:ln xmlns:a="http://schemas.openxmlformats.org/drawingml/2006/main">
              <a:prstDash val="solid"/>
            </a:ln>
          </spPr>
          <cat>
            <numRef>
              <f>'AI大模型'!$A$4:$A$12</f>
            </numRef>
          </cat>
          <val>
            <numRef>
              <f>'AI大模型'!$I$4:$I$12</f>
            </numRef>
          </val>
        </ser>
        <ser>
          <idx val="1"/>
          <order val="1"/>
          <tx>
            <strRef>
              <f>'AI大模型'!J3</f>
            </strRef>
          </tx>
          <spPr>
            <a:ln xmlns:a="http://schemas.openxmlformats.org/drawingml/2006/main">
              <a:prstDash val="solid"/>
            </a:ln>
          </spPr>
          <cat>
            <numRef>
              <f>'AI大模型'!$A$4:$A$12</f>
            </numRef>
          </cat>
          <val>
            <numRef>
              <f>'AI大模型'!$J$4:$J$12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三大股指月度趋势</a:t>
            </a:r>
          </a:p>
        </rich>
      </tx>
    </title>
    <plotArea>
      <lineChart>
        <grouping val="standard"/>
        <ser>
          <idx val="0"/>
          <order val="0"/>
          <tx>
            <strRef>
              <f>'股市趋势'!B3</f>
            </strRef>
          </tx>
          <spPr>
            <a:ln xmlns:a="http://schemas.openxmlformats.org/drawingml/2006/main" w="30000">
              <a:solidFill>
                <a:srgbClr val="E74C3C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E74C3C"/>
              </a:solidFill>
              <a:ln xmlns:a="http://schemas.openxmlformats.org/drawingml/2006/main">
                <a:prstDash val="solid"/>
              </a:ln>
            </spPr>
          </marker>
          <cat>
            <numRef>
              <f>'股市趋势'!$A$4:$A$9</f>
            </numRef>
          </cat>
          <val>
            <numRef>
              <f>'股市趋势'!$B$4:$B$9</f>
            </numRef>
          </val>
        </ser>
        <ser>
          <idx val="1"/>
          <order val="1"/>
          <tx>
            <strRef>
              <f>'股市趋势'!C3</f>
            </strRef>
          </tx>
          <spPr>
            <a:ln xmlns:a="http://schemas.openxmlformats.org/drawingml/2006/main" w="30000">
              <a:solidFill>
                <a:srgbClr val="3498DB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3498DB"/>
              </a:solidFill>
              <a:ln xmlns:a="http://schemas.openxmlformats.org/drawingml/2006/main">
                <a:prstDash val="solid"/>
              </a:ln>
            </spPr>
          </marker>
          <cat>
            <numRef>
              <f>'股市趋势'!$A$4:$A$9</f>
            </numRef>
          </cat>
          <val>
            <numRef>
              <f>'股市趋势'!$C$4:$C$9</f>
            </numRef>
          </val>
        </ser>
        <ser>
          <idx val="2"/>
          <order val="2"/>
          <tx>
            <strRef>
              <f>'股市趋势'!D3</f>
            </strRef>
          </tx>
          <spPr>
            <a:ln xmlns:a="http://schemas.openxmlformats.org/drawingml/2006/main" w="30000">
              <a:solidFill>
                <a:srgbClr val="2ECC71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2ECC71"/>
              </a:solidFill>
              <a:ln xmlns:a="http://schemas.openxmlformats.org/drawingml/2006/main">
                <a:prstDash val="solid"/>
              </a:ln>
            </spPr>
          </marker>
          <cat>
            <numRef>
              <f>'股市趋势'!$A$4:$A$9</f>
            </numRef>
          </cat>
          <val>
            <numRef>
              <f>'股市趋势'!$D$4:$D$9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半导体关键指标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'半导体指标'!B3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'半导体指标'!$A$4:$A$11</f>
            </numRef>
          </cat>
          <val>
            <numRef>
              <f>'半导体指标'!$B$4:$B$11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27</row>
      <rowOff>0</rowOff>
    </from>
    <ext cx="864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13</row>
      <rowOff>0</rowOff>
    </from>
    <ext cx="72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10</row>
      <rowOff>0</rowOff>
    </from>
    <ext cx="864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12</row>
      <rowOff>0</rowOff>
    </from>
    <ext cx="72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</cols>
  <sheetData>
    <row r="1">
      <c r="A1" s="1" t="inlineStr">
        <is>
          <t>我的开发收藏夹 - 数据概览</t>
        </is>
      </c>
    </row>
    <row r="3">
      <c r="A3" s="2" t="inlineStr">
        <is>
          <t>标题</t>
        </is>
      </c>
      <c r="B3" t="inlineStr">
        <is>
          <t>我的开发收藏夹</t>
        </is>
      </c>
    </row>
    <row r="4">
      <c r="A4" s="2" t="inlineStr">
        <is>
          <t>最后更新</t>
        </is>
      </c>
      <c r="B4" t="inlineStr">
        <is>
          <t>2026-06-15</t>
        </is>
      </c>
    </row>
    <row r="5">
      <c r="A5" s="2" t="inlineStr">
        <is>
          <t>版本</t>
        </is>
      </c>
      <c r="B5" t="inlineStr">
        <is>
          <t>2.0</t>
        </is>
      </c>
    </row>
    <row r="6">
      <c r="A6" s="2" t="inlineStr">
        <is>
          <t>仓库</t>
        </is>
      </c>
      <c r="B6" t="inlineStr">
        <is>
          <t>https://github.com/sjkncs/my-dev-favorites</t>
        </is>
      </c>
    </row>
    <row r="8">
      <c r="A8" s="3" t="inlineStr">
        <is>
          <t>分类</t>
        </is>
      </c>
      <c r="B8" s="3" t="inlineStr">
        <is>
          <t>条目数</t>
        </is>
      </c>
    </row>
    <row r="9">
      <c r="A9" s="4" t="inlineStr">
        <is>
          <t>Tips</t>
        </is>
      </c>
      <c r="B9" s="5" t="n">
        <v>2</v>
      </c>
    </row>
    <row r="10">
      <c r="A10" s="4" t="inlineStr">
        <is>
          <t>Repos</t>
        </is>
      </c>
      <c r="B10" s="5" t="n">
        <v>16</v>
      </c>
    </row>
    <row r="11">
      <c r="A11" s="4" t="inlineStr">
        <is>
          <t>Consumer AI</t>
        </is>
      </c>
      <c r="B11" s="5" t="n">
        <v>15</v>
      </c>
    </row>
    <row r="12">
      <c r="A12" s="4" t="inlineStr">
        <is>
          <t>AI Models</t>
        </is>
      </c>
      <c r="B12" s="5" t="n">
        <v>9</v>
      </c>
    </row>
    <row r="13">
      <c r="A13" s="4" t="inlineStr">
        <is>
          <t>Tech News</t>
        </is>
      </c>
      <c r="B13" s="5" t="n">
        <v>53</v>
      </c>
    </row>
    <row r="14">
      <c r="A14" s="4" t="inlineStr">
        <is>
          <t>Stock Market</t>
        </is>
      </c>
      <c r="B14" s="5" t="n">
        <v>24</v>
      </c>
    </row>
    <row r="15">
      <c r="A15" s="4" t="inlineStr">
        <is>
          <t>Papers</t>
        </is>
      </c>
      <c r="B15" s="5" t="n">
        <v>27</v>
      </c>
    </row>
    <row r="16">
      <c r="A16" s="6" t="inlineStr">
        <is>
          <t>总计</t>
        </is>
      </c>
      <c r="B16" s="7">
        <f>SUM(B9:B15)</f>
        <v/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消费品牌AI能力评估</t>
        </is>
      </c>
    </row>
    <row r="3">
      <c r="A3" s="3" t="inlineStr">
        <is>
          <t>品牌</t>
        </is>
      </c>
      <c r="B3" s="3" t="inlineStr">
        <is>
          <t>工具</t>
        </is>
      </c>
      <c r="C3" s="3" t="inlineStr">
        <is>
          <t>类别</t>
        </is>
      </c>
      <c r="D3" s="3" t="inlineStr">
        <is>
          <t>AI深度</t>
        </is>
      </c>
      <c r="E3" s="3" t="inlineStr">
        <is>
          <t>用户体验</t>
        </is>
      </c>
      <c r="F3" s="3" t="inlineStr">
        <is>
          <t>部署规模</t>
        </is>
      </c>
      <c r="G3" s="3" t="inlineStr">
        <is>
          <t>技术壁垒</t>
        </is>
      </c>
      <c r="H3" s="3" t="inlineStr">
        <is>
          <t>商业化</t>
        </is>
      </c>
    </row>
    <row r="4">
      <c r="A4" s="4" t="inlineStr">
        <is>
          <t>瑞幸咖啡</t>
        </is>
      </c>
      <c r="B4" s="4" t="inlineStr">
        <is>
          <t>MCP/CLI/Skill</t>
        </is>
      </c>
      <c r="C4" s="4" t="inlineStr">
        <is>
          <t>AI点单</t>
        </is>
      </c>
      <c r="D4" s="5" t="n">
        <v>8</v>
      </c>
      <c r="E4" s="5" t="n">
        <v>7</v>
      </c>
      <c r="F4" s="5" t="n">
        <v>9</v>
      </c>
      <c r="G4" s="5" t="n">
        <v>6</v>
      </c>
      <c r="H4" s="5" t="n">
        <v>7</v>
      </c>
    </row>
    <row r="5">
      <c r="A5" s="4" t="inlineStr">
        <is>
          <t>喜茶</t>
        </is>
      </c>
      <c r="B5" s="4" t="inlineStr">
        <is>
          <t>全套智能茶饮设备</t>
        </is>
      </c>
      <c r="C5" s="4" t="inlineStr">
        <is>
          <t>门店自动化</t>
        </is>
      </c>
      <c r="D5" s="5" t="n">
        <v>6</v>
      </c>
      <c r="E5" s="5" t="n">
        <v>8</v>
      </c>
      <c r="F5" s="5" t="n">
        <v>8</v>
      </c>
      <c r="G5" s="5" t="n">
        <v>9</v>
      </c>
      <c r="H5" s="5" t="n">
        <v>8</v>
      </c>
    </row>
    <row r="6">
      <c r="A6" s="4" t="inlineStr">
        <is>
          <t>奈雪的茶</t>
        </is>
      </c>
      <c r="B6" s="4" t="inlineStr">
        <is>
          <t>AI溯源预警系统 + 智能茶饮机</t>
        </is>
      </c>
      <c r="C6" s="4" t="inlineStr">
        <is>
          <t>食品安全AI</t>
        </is>
      </c>
      <c r="D6" s="5" t="n">
        <v>7</v>
      </c>
      <c r="E6" s="5" t="n">
        <v>7</v>
      </c>
      <c r="F6" s="5" t="n">
        <v>7</v>
      </c>
      <c r="G6" s="5" t="n">
        <v>7</v>
      </c>
      <c r="H6" s="5" t="n">
        <v>6</v>
      </c>
    </row>
    <row r="7">
      <c r="A7" s="4" t="inlineStr">
        <is>
          <t>蜜雪冰城</t>
        </is>
      </c>
      <c r="B7" s="4" t="inlineStr">
        <is>
          <t>雪王爱智慧科技</t>
        </is>
      </c>
      <c r="C7" s="4" t="inlineStr">
        <is>
          <t>AI底层技术</t>
        </is>
      </c>
      <c r="D7" s="5" t="n">
        <v>5</v>
      </c>
      <c r="E7" s="5" t="n">
        <v>5</v>
      </c>
      <c r="F7" s="5" t="n">
        <v>10</v>
      </c>
      <c r="G7" s="5" t="n">
        <v>5</v>
      </c>
      <c r="H7" s="5" t="n">
        <v>6</v>
      </c>
    </row>
    <row r="8">
      <c r="A8" s="4" t="inlineStr">
        <is>
          <t>星巴克</t>
        </is>
      </c>
      <c r="B8" s="4" t="inlineStr">
        <is>
          <t>Green Dot Assist（绿点助手）</t>
        </is>
      </c>
      <c r="C8" s="4" t="inlineStr">
        <is>
          <t>员工辅助AI</t>
        </is>
      </c>
      <c r="D8" s="5" t="n">
        <v>4</v>
      </c>
      <c r="E8" s="5" t="n">
        <v>7</v>
      </c>
      <c r="F8" s="5" t="n">
        <v>7</v>
      </c>
      <c r="G8" s="5" t="n">
        <v>3</v>
      </c>
      <c r="H8" s="5" t="n">
        <v>5</v>
      </c>
    </row>
    <row r="9">
      <c r="A9" s="4" t="inlineStr">
        <is>
          <t>星巴克</t>
        </is>
      </c>
      <c r="B9" s="4" t="inlineStr">
        <is>
          <t>Deep Brew AI 平台</t>
        </is>
      </c>
      <c r="C9" s="4" t="inlineStr">
        <is>
          <t>个性化推荐</t>
        </is>
      </c>
      <c r="D9" s="5" t="n">
        <v>8</v>
      </c>
      <c r="E9" s="5" t="n">
        <v>9</v>
      </c>
      <c r="F9" s="5" t="n">
        <v>10</v>
      </c>
      <c r="G9" s="5" t="n">
        <v>7</v>
      </c>
      <c r="H9" s="5" t="n">
        <v>9</v>
      </c>
    </row>
    <row r="10">
      <c r="A10" s="4" t="inlineStr">
        <is>
          <t>星巴克</t>
        </is>
      </c>
      <c r="B10" s="4" t="inlineStr">
        <is>
          <t>AI库存管理工具（已停用）</t>
        </is>
      </c>
      <c r="C10" s="4" t="inlineStr">
        <is>
          <t>需求预测AI（失败案例）</t>
        </is>
      </c>
      <c r="D10" s="5" t="n">
        <v>5</v>
      </c>
      <c r="E10" s="5" t="n">
        <v>2</v>
      </c>
      <c r="F10" s="5" t="n">
        <v>1</v>
      </c>
      <c r="G10" s="5" t="n">
        <v>5</v>
      </c>
      <c r="H10" s="5" t="n">
        <v>0</v>
      </c>
    </row>
    <row r="11">
      <c r="A11" s="4" t="inlineStr">
        <is>
          <t>库迪咖啡</t>
        </is>
      </c>
      <c r="B11" s="4" t="inlineStr">
        <is>
          <t>智慧运营体系</t>
        </is>
      </c>
      <c r="C11" s="4" t="inlineStr">
        <is>
          <t>智慧运营</t>
        </is>
      </c>
      <c r="D11" s="5" t="n">
        <v>7</v>
      </c>
      <c r="E11" s="5" t="n">
        <v>6</v>
      </c>
      <c r="F11" s="5" t="n">
        <v>9</v>
      </c>
      <c r="G11" s="5" t="n">
        <v>6</v>
      </c>
      <c r="H11" s="5" t="n">
        <v>7</v>
      </c>
    </row>
    <row r="12">
      <c r="A12" s="4" t="inlineStr">
        <is>
          <t>肯德基</t>
        </is>
      </c>
      <c r="B12" s="4" t="inlineStr">
        <is>
          <t>AI点餐助手'小K'</t>
        </is>
      </c>
      <c r="C12" s="4" t="inlineStr">
        <is>
          <t>AI语音点餐</t>
        </is>
      </c>
      <c r="D12" s="5" t="n">
        <v>7</v>
      </c>
      <c r="E12" s="5" t="n">
        <v>7</v>
      </c>
      <c r="F12" s="5" t="n">
        <v>8</v>
      </c>
      <c r="G12" s="5" t="n">
        <v>6</v>
      </c>
      <c r="H12" s="5" t="n">
        <v>7</v>
      </c>
    </row>
    <row r="13">
      <c r="A13" s="4" t="inlineStr">
        <is>
          <t>麦当劳</t>
        </is>
      </c>
      <c r="B13" s="4" t="inlineStr">
        <is>
          <t>RGM BOSS + 汉堡大学AI智能陪练</t>
        </is>
      </c>
      <c r="C13" s="4" t="inlineStr">
        <is>
          <t>员工数字化</t>
        </is>
      </c>
      <c r="D13" s="5" t="n">
        <v>5</v>
      </c>
      <c r="E13" s="5" t="n">
        <v>7</v>
      </c>
      <c r="F13" s="5" t="n">
        <v>8</v>
      </c>
      <c r="G13" s="5" t="n">
        <v>4</v>
      </c>
      <c r="H13" s="5" t="n">
        <v>6</v>
      </c>
    </row>
    <row r="14">
      <c r="A14" s="4" t="inlineStr">
        <is>
          <t>海底捞</t>
        </is>
      </c>
      <c r="B14" s="4" t="inlineStr">
        <is>
          <t>AI智慧巡检系统 + 智能体机器人</t>
        </is>
      </c>
      <c r="C14" s="4" t="inlineStr">
        <is>
          <t>AI巡检</t>
        </is>
      </c>
      <c r="D14" s="5" t="n">
        <v>7</v>
      </c>
      <c r="E14" s="5" t="n">
        <v>7</v>
      </c>
      <c r="F14" s="5" t="n">
        <v>9</v>
      </c>
      <c r="G14" s="5" t="n">
        <v>7</v>
      </c>
      <c r="H14" s="5" t="n">
        <v>8</v>
      </c>
    </row>
    <row r="15">
      <c r="A15" s="4" t="inlineStr">
        <is>
          <t>茶百道</t>
        </is>
      </c>
      <c r="B15" s="4" t="inlineStr">
        <is>
          <t>智能管理体系</t>
        </is>
      </c>
      <c r="C15" s="4" t="inlineStr">
        <is>
          <t>AI巡检+品控</t>
        </is>
      </c>
      <c r="D15" s="5" t="n">
        <v>6</v>
      </c>
      <c r="E15" s="5" t="n">
        <v>7</v>
      </c>
      <c r="F15" s="5" t="n">
        <v>9</v>
      </c>
      <c r="G15" s="5" t="n">
        <v>5</v>
      </c>
      <c r="H15" s="5" t="n">
        <v>7</v>
      </c>
    </row>
    <row r="16">
      <c r="A16" s="4" t="inlineStr">
        <is>
          <t>霸王茶姬</t>
        </is>
      </c>
      <c r="B16" s="4" t="inlineStr">
        <is>
          <t>智能调饮系统 + '茶茶圈'AI知识管理</t>
        </is>
      </c>
      <c r="C16" s="4" t="inlineStr">
        <is>
          <t>智能标准化</t>
        </is>
      </c>
      <c r="D16" s="5" t="n">
        <v>6</v>
      </c>
      <c r="E16" s="5" t="n">
        <v>9</v>
      </c>
      <c r="F16" s="5" t="n">
        <v>9</v>
      </c>
      <c r="G16" s="5" t="n">
        <v>6</v>
      </c>
      <c r="H16" s="5" t="n">
        <v>9</v>
      </c>
    </row>
    <row r="17">
      <c r="A17" s="4" t="inlineStr">
        <is>
          <t>阿里通义千问</t>
        </is>
      </c>
      <c r="B17" s="4" t="inlineStr">
        <is>
          <t>千问App'一句话点奶茶'</t>
        </is>
      </c>
      <c r="C17" s="4" t="inlineStr">
        <is>
          <t>AI Agent消费入口</t>
        </is>
      </c>
      <c r="D17" s="5" t="n">
        <v>8</v>
      </c>
      <c r="E17" s="5" t="n">
        <v>8</v>
      </c>
      <c r="F17" s="5" t="n">
        <v>10</v>
      </c>
      <c r="G17" s="5" t="n">
        <v>7</v>
      </c>
      <c r="H17" s="5" t="n">
        <v>7</v>
      </c>
    </row>
    <row r="18">
      <c r="A18" s="4" t="inlineStr">
        <is>
          <t>蜜雪冰城</t>
        </is>
      </c>
      <c r="B18" s="4" t="inlineStr">
        <is>
          <t>雪王爱智慧 - AI公共数据平台</t>
        </is>
      </c>
      <c r="C18" s="4" t="inlineStr">
        <is>
          <t>AI数据平台</t>
        </is>
      </c>
      <c r="D18" s="5" t="n">
        <v>6</v>
      </c>
      <c r="E18" s="5" t="n">
        <v>3</v>
      </c>
      <c r="F18" s="5" t="n">
        <v>8</v>
      </c>
      <c r="G18" s="5" t="n">
        <v>6</v>
      </c>
      <c r="H18" s="5" t="n">
        <v>4</v>
      </c>
    </row>
    <row r="19">
      <c r="A19" s="8" t="inlineStr">
        <is>
          <t>平均分</t>
        </is>
      </c>
      <c r="D19" s="9">
        <f>AVERAGE(D4:D18)</f>
        <v/>
      </c>
      <c r="E19" s="9">
        <f>AVERAGE(E4:E18)</f>
        <v/>
      </c>
      <c r="F19" s="9">
        <f>AVERAGE(F4:F18)</f>
        <v/>
      </c>
      <c r="G19" s="9">
        <f>AVERAGE(G4:G18)</f>
        <v/>
      </c>
      <c r="H19" s="9">
        <f>AVERAGE(H4:H18)</f>
        <v/>
      </c>
    </row>
    <row r="21">
      <c r="B21" s="8" t="inlineStr">
        <is>
          <t>维度</t>
        </is>
      </c>
      <c r="C21" s="8" t="inlineStr">
        <is>
          <t>瑞幸咖啡</t>
        </is>
      </c>
      <c r="D21" s="8" t="inlineStr">
        <is>
          <t>喜茶</t>
        </is>
      </c>
      <c r="E21" s="8" t="inlineStr">
        <is>
          <t>奈雪的茶</t>
        </is>
      </c>
      <c r="F21" s="8" t="inlineStr">
        <is>
          <t>蜜雪冰城</t>
        </is>
      </c>
      <c r="G21" s="8" t="inlineStr">
        <is>
          <t>星巴克</t>
        </is>
      </c>
      <c r="H21" s="8" t="inlineStr">
        <is>
          <t>星巴克</t>
        </is>
      </c>
      <c r="I21" s="8" t="inlineStr">
        <is>
          <t>星巴克</t>
        </is>
      </c>
      <c r="J21" s="8" t="inlineStr">
        <is>
          <t>库迪咖啡</t>
        </is>
      </c>
      <c r="K21" s="8" t="inlineStr">
        <is>
          <t>肯德基</t>
        </is>
      </c>
      <c r="L21" s="8" t="inlineStr">
        <is>
          <t>麦当劳</t>
        </is>
      </c>
      <c r="M21" s="8" t="inlineStr">
        <is>
          <t>海底捞</t>
        </is>
      </c>
      <c r="N21" s="8" t="inlineStr">
        <is>
          <t>茶百道</t>
        </is>
      </c>
      <c r="O21" s="8" t="inlineStr">
        <is>
          <t>霸王茶姬</t>
        </is>
      </c>
      <c r="P21" s="8" t="inlineStr">
        <is>
          <t>阿里通义千问</t>
        </is>
      </c>
      <c r="Q21" s="8" t="inlineStr">
        <is>
          <t>蜜雪冰城</t>
        </is>
      </c>
    </row>
    <row r="22">
      <c r="B22" t="inlineStr">
        <is>
          <t>AI深度</t>
        </is>
      </c>
      <c r="C22" t="n">
        <v>8</v>
      </c>
      <c r="D22" t="n">
        <v>6</v>
      </c>
      <c r="E22" t="n">
        <v>7</v>
      </c>
      <c r="F22" t="n">
        <v>5</v>
      </c>
      <c r="G22" t="n">
        <v>4</v>
      </c>
      <c r="H22" t="n">
        <v>8</v>
      </c>
      <c r="I22" t="n">
        <v>5</v>
      </c>
      <c r="J22" t="n">
        <v>7</v>
      </c>
      <c r="K22" t="n">
        <v>7</v>
      </c>
      <c r="L22" t="n">
        <v>5</v>
      </c>
      <c r="M22" t="n">
        <v>7</v>
      </c>
      <c r="N22" t="n">
        <v>6</v>
      </c>
      <c r="O22" t="n">
        <v>6</v>
      </c>
      <c r="P22" t="n">
        <v>8</v>
      </c>
      <c r="Q22" t="n">
        <v>6</v>
      </c>
    </row>
    <row r="23">
      <c r="B23" t="inlineStr">
        <is>
          <t>用户体验</t>
        </is>
      </c>
      <c r="C23" t="n">
        <v>7</v>
      </c>
      <c r="D23" t="n">
        <v>8</v>
      </c>
      <c r="E23" t="n">
        <v>7</v>
      </c>
      <c r="F23" t="n">
        <v>5</v>
      </c>
      <c r="G23" t="n">
        <v>7</v>
      </c>
      <c r="H23" t="n">
        <v>9</v>
      </c>
      <c r="I23" t="n">
        <v>2</v>
      </c>
      <c r="J23" t="n">
        <v>6</v>
      </c>
      <c r="K23" t="n">
        <v>7</v>
      </c>
      <c r="L23" t="n">
        <v>7</v>
      </c>
      <c r="M23" t="n">
        <v>7</v>
      </c>
      <c r="N23" t="n">
        <v>7</v>
      </c>
      <c r="O23" t="n">
        <v>9</v>
      </c>
      <c r="P23" t="n">
        <v>8</v>
      </c>
      <c r="Q23" t="n">
        <v>3</v>
      </c>
    </row>
    <row r="24">
      <c r="B24" t="inlineStr">
        <is>
          <t>部署规模</t>
        </is>
      </c>
      <c r="C24" t="n">
        <v>9</v>
      </c>
      <c r="D24" t="n">
        <v>8</v>
      </c>
      <c r="E24" t="n">
        <v>7</v>
      </c>
      <c r="F24" t="n">
        <v>10</v>
      </c>
      <c r="G24" t="n">
        <v>7</v>
      </c>
      <c r="H24" t="n">
        <v>10</v>
      </c>
      <c r="I24" t="n">
        <v>1</v>
      </c>
      <c r="J24" t="n">
        <v>9</v>
      </c>
      <c r="K24" t="n">
        <v>8</v>
      </c>
      <c r="L24" t="n">
        <v>8</v>
      </c>
      <c r="M24" t="n">
        <v>9</v>
      </c>
      <c r="N24" t="n">
        <v>9</v>
      </c>
      <c r="O24" t="n">
        <v>9</v>
      </c>
      <c r="P24" t="n">
        <v>10</v>
      </c>
      <c r="Q24" t="n">
        <v>8</v>
      </c>
    </row>
    <row r="25">
      <c r="B25" t="inlineStr">
        <is>
          <t>技术壁垒</t>
        </is>
      </c>
      <c r="C25" t="n">
        <v>6</v>
      </c>
      <c r="D25" t="n">
        <v>9</v>
      </c>
      <c r="E25" t="n">
        <v>7</v>
      </c>
      <c r="F25" t="n">
        <v>5</v>
      </c>
      <c r="G25" t="n">
        <v>3</v>
      </c>
      <c r="H25" t="n">
        <v>7</v>
      </c>
      <c r="I25" t="n">
        <v>5</v>
      </c>
      <c r="J25" t="n">
        <v>6</v>
      </c>
      <c r="K25" t="n">
        <v>6</v>
      </c>
      <c r="L25" t="n">
        <v>4</v>
      </c>
      <c r="M25" t="n">
        <v>7</v>
      </c>
      <c r="N25" t="n">
        <v>5</v>
      </c>
      <c r="O25" t="n">
        <v>6</v>
      </c>
      <c r="P25" t="n">
        <v>7</v>
      </c>
      <c r="Q25" t="n">
        <v>6</v>
      </c>
    </row>
    <row r="26">
      <c r="B26" t="inlineStr">
        <is>
          <t>商业化</t>
        </is>
      </c>
      <c r="C26" t="n">
        <v>7</v>
      </c>
      <c r="D26" t="n">
        <v>8</v>
      </c>
      <c r="E26" t="n">
        <v>6</v>
      </c>
      <c r="F26" t="n">
        <v>6</v>
      </c>
      <c r="G26" t="n">
        <v>5</v>
      </c>
      <c r="H26" t="n">
        <v>9</v>
      </c>
      <c r="I26" t="n">
        <v>0</v>
      </c>
      <c r="J26" t="n">
        <v>7</v>
      </c>
      <c r="K26" t="n">
        <v>7</v>
      </c>
      <c r="L26" t="n">
        <v>6</v>
      </c>
      <c r="M26" t="n">
        <v>8</v>
      </c>
      <c r="N26" t="n">
        <v>7</v>
      </c>
      <c r="O26" t="n">
        <v>9</v>
      </c>
      <c r="P26" t="n">
        <v>7</v>
      </c>
      <c r="Q26" t="n">
        <v>4</v>
      </c>
    </row>
  </sheetData>
  <mergeCells count="1">
    <mergeCell ref="A1:H1"/>
  </mergeCells>
  <conditionalFormatting sqref="D4:D18">
    <cfRule type="colorScale" priority="1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conditionalFormatting sqref="E4:E18">
    <cfRule type="colorScale" priority="2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conditionalFormatting sqref="F4:F18">
    <cfRule type="colorScale" priority="3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conditionalFormatting sqref="G4:G18">
    <cfRule type="colorScale" priority="4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conditionalFormatting sqref="H4:H18">
    <cfRule type="colorScale" priority="5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AI大模型能力对比</t>
        </is>
      </c>
    </row>
    <row r="3">
      <c r="A3" s="3" t="inlineStr">
        <is>
          <t>模型</t>
        </is>
      </c>
      <c r="B3" s="3" t="inlineStr">
        <is>
          <t>厂商</t>
        </is>
      </c>
      <c r="C3" s="3" t="inlineStr">
        <is>
          <t>推理</t>
        </is>
      </c>
      <c r="D3" s="3" t="inlineStr">
        <is>
          <t>编程</t>
        </is>
      </c>
      <c r="E3" s="3" t="inlineStr">
        <is>
          <t>多模态</t>
        </is>
      </c>
      <c r="F3" s="3" t="inlineStr">
        <is>
          <t>价格竞争力</t>
        </is>
      </c>
      <c r="G3" s="3" t="inlineStr">
        <is>
          <t>上下文</t>
        </is>
      </c>
      <c r="H3" s="3" t="inlineStr">
        <is>
          <t>生态</t>
        </is>
      </c>
      <c r="I3" s="3" t="inlineStr">
        <is>
          <t>输入价格</t>
        </is>
      </c>
      <c r="J3" s="3" t="inlineStr">
        <is>
          <t>输出价格</t>
        </is>
      </c>
      <c r="K3" s="3" t="inlineStr">
        <is>
          <t>单位</t>
        </is>
      </c>
    </row>
    <row r="4">
      <c r="A4" s="4" t="inlineStr">
        <is>
          <t>GPT-5.5</t>
        </is>
      </c>
      <c r="B4" s="4" t="inlineStr">
        <is>
          <t>OpenAI</t>
        </is>
      </c>
      <c r="C4" s="5" t="n">
        <v>9</v>
      </c>
      <c r="D4" s="5" t="n">
        <v>8</v>
      </c>
      <c r="E4" s="5" t="n">
        <v>9</v>
      </c>
      <c r="F4" s="5" t="n">
        <v>3</v>
      </c>
      <c r="G4" s="5" t="n">
        <v>7</v>
      </c>
      <c r="H4" s="5" t="n">
        <v>10</v>
      </c>
      <c r="I4" s="5" t="n">
        <v>15</v>
      </c>
      <c r="J4" s="5" t="n">
        <v>60</v>
      </c>
      <c r="K4" s="5" t="inlineStr">
        <is>
          <t>$/1M tokens</t>
        </is>
      </c>
    </row>
    <row r="5">
      <c r="A5" s="4" t="inlineStr">
        <is>
          <t>DeepSeek V4</t>
        </is>
      </c>
      <c r="B5" s="4" t="inlineStr">
        <is>
          <t>DeepSeek（幻方量化）</t>
        </is>
      </c>
      <c r="C5" s="5" t="n">
        <v>8</v>
      </c>
      <c r="D5" s="5" t="n">
        <v>8</v>
      </c>
      <c r="E5" s="5" t="n">
        <v>6</v>
      </c>
      <c r="F5" s="5" t="n">
        <v>10</v>
      </c>
      <c r="G5" s="5" t="n">
        <v>7</v>
      </c>
      <c r="H5" s="5" t="n">
        <v>7</v>
      </c>
      <c r="I5" s="5" t="n">
        <v>2</v>
      </c>
      <c r="J5" s="5" t="n">
        <v>8</v>
      </c>
      <c r="K5" s="5" t="inlineStr">
        <is>
          <t>$/1M tokens</t>
        </is>
      </c>
    </row>
    <row r="6">
      <c r="A6" s="4" t="inlineStr">
        <is>
          <t>Claude 4 Opus</t>
        </is>
      </c>
      <c r="B6" s="4" t="inlineStr">
        <is>
          <t>Anthropic</t>
        </is>
      </c>
      <c r="C6" s="5" t="n">
        <v>9</v>
      </c>
      <c r="D6" s="5" t="n">
        <v>10</v>
      </c>
      <c r="E6" s="5" t="n">
        <v>8</v>
      </c>
      <c r="F6" s="5" t="n">
        <v>4</v>
      </c>
      <c r="G6" s="5" t="n">
        <v>8</v>
      </c>
      <c r="H6" s="5" t="n">
        <v>8</v>
      </c>
      <c r="I6" s="5" t="n">
        <v>15</v>
      </c>
      <c r="J6" s="5" t="n">
        <v>75</v>
      </c>
      <c r="K6" s="5" t="inlineStr">
        <is>
          <t>$/1M tokens</t>
        </is>
      </c>
    </row>
    <row r="7">
      <c r="A7" s="4" t="inlineStr">
        <is>
          <t>Claude 4 Sonnet</t>
        </is>
      </c>
      <c r="B7" s="4" t="inlineStr">
        <is>
          <t>Anthropic</t>
        </is>
      </c>
      <c r="C7" s="5" t="n">
        <v>8</v>
      </c>
      <c r="D7" s="5" t="n">
        <v>9</v>
      </c>
      <c r="E7" s="5" t="n">
        <v>8</v>
      </c>
      <c r="F7" s="5" t="n">
        <v>6</v>
      </c>
      <c r="G7" s="5" t="n">
        <v>8</v>
      </c>
      <c r="H7" s="5" t="n">
        <v>8</v>
      </c>
      <c r="I7" s="5" t="n">
        <v>3</v>
      </c>
      <c r="J7" s="5" t="n">
        <v>15</v>
      </c>
      <c r="K7" s="5" t="inlineStr">
        <is>
          <t>$/1M tokens</t>
        </is>
      </c>
    </row>
    <row r="8">
      <c r="A8" s="4" t="inlineStr">
        <is>
          <t>Gemini 3.5 Flash</t>
        </is>
      </c>
      <c r="B8" s="4" t="inlineStr">
        <is>
          <t>Google</t>
        </is>
      </c>
      <c r="C8" s="5" t="n">
        <v>8</v>
      </c>
      <c r="D8" s="5" t="n">
        <v>7</v>
      </c>
      <c r="E8" s="5" t="n">
        <v>9</v>
      </c>
      <c r="F8" s="5" t="n">
        <v>7</v>
      </c>
      <c r="G8" s="5" t="n">
        <v>9</v>
      </c>
      <c r="H8" s="5" t="n">
        <v>9</v>
      </c>
      <c r="I8" s="5" t="n">
        <v>1</v>
      </c>
      <c r="J8" s="5" t="n">
        <v>4</v>
      </c>
      <c r="K8" s="5" t="inlineStr">
        <is>
          <t>$/1M tokens</t>
        </is>
      </c>
    </row>
    <row r="9">
      <c r="A9" s="4" t="inlineStr">
        <is>
          <t>Gemini 3 Deep Think</t>
        </is>
      </c>
      <c r="B9" s="4" t="inlineStr">
        <is>
          <t>Google</t>
        </is>
      </c>
      <c r="C9" s="5" t="n">
        <v>10</v>
      </c>
      <c r="D9" s="5" t="n">
        <v>7</v>
      </c>
      <c r="E9" s="5" t="n">
        <v>8</v>
      </c>
      <c r="F9" s="5" t="n">
        <v>5</v>
      </c>
      <c r="G9" s="5" t="n">
        <v>8</v>
      </c>
      <c r="H9" s="5" t="n">
        <v>8</v>
      </c>
      <c r="I9" s="5" t="n">
        <v>10</v>
      </c>
      <c r="J9" s="5" t="n">
        <v>40</v>
      </c>
      <c r="K9" s="5" t="inlineStr">
        <is>
          <t>$/1M tokens</t>
        </is>
      </c>
    </row>
    <row r="10">
      <c r="A10" s="4" t="inlineStr">
        <is>
          <t>豆包 2.0</t>
        </is>
      </c>
      <c r="B10" s="4" t="inlineStr">
        <is>
          <t>字节跳动</t>
        </is>
      </c>
      <c r="C10" s="5" t="n">
        <v>7</v>
      </c>
      <c r="D10" s="5" t="n">
        <v>7</v>
      </c>
      <c r="E10" s="5" t="n">
        <v>8</v>
      </c>
      <c r="F10" s="5" t="n">
        <v>8</v>
      </c>
      <c r="G10" s="5" t="n">
        <v>7</v>
      </c>
      <c r="H10" s="5" t="n">
        <v>10</v>
      </c>
      <c r="I10" s="5" t="n">
        <v>2</v>
      </c>
      <c r="J10" s="5" t="n">
        <v>6</v>
      </c>
      <c r="K10" s="5" t="inlineStr">
        <is>
          <t>$/1M tokens</t>
        </is>
      </c>
    </row>
    <row r="11">
      <c r="A11" s="4" t="inlineStr">
        <is>
          <t>通义千问 (Qwen)</t>
        </is>
      </c>
      <c r="B11" s="4" t="inlineStr">
        <is>
          <t>阿里巴巴</t>
        </is>
      </c>
      <c r="C11" s="5" t="n">
        <v>7</v>
      </c>
      <c r="D11" s="5" t="n">
        <v>7</v>
      </c>
      <c r="E11" s="5" t="n">
        <v>7</v>
      </c>
      <c r="F11" s="5" t="n">
        <v>9</v>
      </c>
      <c r="G11" s="5" t="n">
        <v>8</v>
      </c>
      <c r="H11" s="5" t="n">
        <v>8</v>
      </c>
      <c r="I11" s="5" t="n">
        <v>1</v>
      </c>
      <c r="J11" s="5" t="n">
        <v>3</v>
      </c>
      <c r="K11" s="5" t="inlineStr">
        <is>
          <t>$/1M tokens</t>
        </is>
      </c>
    </row>
    <row r="12">
      <c r="A12" s="4" t="inlineStr">
        <is>
          <t>MiniMax</t>
        </is>
      </c>
      <c r="B12" s="4" t="inlineStr">
        <is>
          <t>MiniMax</t>
        </is>
      </c>
      <c r="C12" s="5" t="n">
        <v>7</v>
      </c>
      <c r="D12" s="5" t="n">
        <v>6</v>
      </c>
      <c r="E12" s="5" t="n">
        <v>8</v>
      </c>
      <c r="F12" s="5" t="n">
        <v>9</v>
      </c>
      <c r="G12" s="5" t="n">
        <v>8</v>
      </c>
      <c r="H12" s="5" t="n">
        <v>6</v>
      </c>
      <c r="I12" s="5" t="n">
        <v>1.5</v>
      </c>
      <c r="J12" s="5" t="n">
        <v>5</v>
      </c>
      <c r="K12" s="5" t="inlineStr">
        <is>
          <t>$/1M tokens</t>
        </is>
      </c>
    </row>
  </sheetData>
  <mergeCells count="1">
    <mergeCell ref="A1:K1"/>
  </mergeCells>
  <conditionalFormatting sqref="C4:C12">
    <cfRule type="colorScale" priority="1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conditionalFormatting sqref="D4:D12">
    <cfRule type="colorScale" priority="2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conditionalFormatting sqref="E4:E12">
    <cfRule type="colorScale" priority="3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conditionalFormatting sqref="F4:F12">
    <cfRule type="colorScale" priority="4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conditionalFormatting sqref="G4:G12">
    <cfRule type="colorScale" priority="5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conditionalFormatting sqref="H4:H12">
    <cfRule type="colorScale" priority="6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三大股指月度趋势</t>
        </is>
      </c>
    </row>
    <row r="3">
      <c r="A3" s="3" t="inlineStr">
        <is>
          <t>月份</t>
        </is>
      </c>
      <c r="B3" s="3" t="inlineStr">
        <is>
          <t>上证综指</t>
        </is>
      </c>
      <c r="C3" s="3" t="inlineStr">
        <is>
          <t>纳斯达克</t>
        </is>
      </c>
      <c r="D3" s="3" t="inlineStr">
        <is>
          <t>恒生科技</t>
        </is>
      </c>
    </row>
    <row r="4">
      <c r="A4" s="5" t="inlineStr">
        <is>
          <t>2026-01</t>
        </is>
      </c>
      <c r="B4" s="5" t="n">
        <v>3350</v>
      </c>
      <c r="C4" s="5" t="n">
        <v>19800</v>
      </c>
      <c r="D4" s="5" t="n">
        <v>5200</v>
      </c>
    </row>
    <row r="5">
      <c r="A5" s="5" t="inlineStr">
        <is>
          <t>2026-02</t>
        </is>
      </c>
      <c r="B5" s="5" t="n">
        <v>3420</v>
      </c>
      <c r="C5" s="5" t="n">
        <v>20100</v>
      </c>
      <c r="D5" s="5" t="n">
        <v>5380</v>
      </c>
    </row>
    <row r="6">
      <c r="A6" s="5" t="inlineStr">
        <is>
          <t>2026-03</t>
        </is>
      </c>
      <c r="B6" s="5" t="n">
        <v>3380</v>
      </c>
      <c r="C6" s="5" t="n">
        <v>20500</v>
      </c>
      <c r="D6" s="5" t="n">
        <v>5500</v>
      </c>
    </row>
    <row r="7">
      <c r="A7" s="5" t="inlineStr">
        <is>
          <t>2026-04</t>
        </is>
      </c>
      <c r="B7" s="5" t="n">
        <v>3450</v>
      </c>
      <c r="C7" s="5" t="n">
        <v>21200</v>
      </c>
      <c r="D7" s="5" t="n">
        <v>5650</v>
      </c>
    </row>
    <row r="8">
      <c r="A8" s="5" t="inlineStr">
        <is>
          <t>2026-05</t>
        </is>
      </c>
      <c r="B8" s="5" t="n">
        <v>3987</v>
      </c>
      <c r="C8" s="5" t="n">
        <v>23500</v>
      </c>
      <c r="D8" s="5" t="n">
        <v>5100</v>
      </c>
    </row>
    <row r="9">
      <c r="A9" s="5" t="inlineStr">
        <is>
          <t>2026-06</t>
        </is>
      </c>
      <c r="B9" s="5" t="n">
        <v>4052.18</v>
      </c>
      <c r="C9" s="5" t="n">
        <v>25948.22</v>
      </c>
      <c r="D9" s="5" t="n">
        <v>4735.8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</cols>
  <sheetData>
    <row r="1">
      <c r="A1" s="1" t="inlineStr">
        <is>
          <t>半导体关键指标</t>
        </is>
      </c>
    </row>
    <row r="3">
      <c r="A3" s="3" t="inlineStr">
        <is>
          <t>指标</t>
        </is>
      </c>
      <c r="B3" s="3" t="inlineStr">
        <is>
          <t>数值</t>
        </is>
      </c>
      <c r="C3" s="3" t="inlineStr">
        <is>
          <t>单位</t>
        </is>
      </c>
    </row>
    <row r="4">
      <c r="A4" s="4" t="inlineStr">
        <is>
          <t>2026年全球半导体市场规模预测</t>
        </is>
      </c>
      <c r="B4" s="5" t="n">
        <v>13000</v>
      </c>
      <c r="C4" s="5" t="inlineStr">
        <is>
          <t>亿美元</t>
        </is>
      </c>
    </row>
    <row r="5">
      <c r="A5" s="4" t="inlineStr">
        <is>
          <t>同比增长率</t>
        </is>
      </c>
      <c r="B5" s="5" t="inlineStr">
        <is>
          <t>90%</t>
        </is>
      </c>
      <c r="C5" s="5" t="inlineStr"/>
    </row>
    <row r="6">
      <c r="A6" s="4" t="inlineStr">
        <is>
          <t>中国芯片出口额（1-2月）</t>
        </is>
      </c>
      <c r="B6" s="5" t="n">
        <v>433</v>
      </c>
      <c r="C6" s="5" t="inlineStr">
        <is>
          <t>亿美元</t>
        </is>
      </c>
    </row>
    <row r="7">
      <c r="A7" s="4" t="inlineStr">
        <is>
          <t>中国芯片出口同比增长</t>
        </is>
      </c>
      <c r="B7" s="5" t="inlineStr">
        <is>
          <t>72.6%</t>
        </is>
      </c>
      <c r="C7" s="5" t="inlineStr"/>
    </row>
    <row r="8">
      <c r="A8" s="4" t="inlineStr">
        <is>
          <t>三星2nm工艺良率</t>
        </is>
      </c>
      <c r="B8" s="5" t="inlineStr">
        <is>
          <t>60%</t>
        </is>
      </c>
      <c r="C8" s="5" t="inlineStr"/>
    </row>
    <row r="9">
      <c r="A9" s="4" t="inlineStr">
        <is>
          <t>韩国AI半导体投入</t>
        </is>
      </c>
      <c r="B9" s="5" t="n">
        <v>8000</v>
      </c>
      <c r="C9" s="5" t="inlineStr">
        <is>
          <t>亿韩元</t>
        </is>
      </c>
    </row>
    <row r="10">
      <c r="A10" s="4" t="inlineStr">
        <is>
          <t>中国半导体IPO排队企业</t>
        </is>
      </c>
      <c r="B10" s="5" t="n">
        <v>85</v>
      </c>
      <c r="C10" s="5" t="inlineStr">
        <is>
          <t>家</t>
        </is>
      </c>
    </row>
    <row r="11">
      <c r="A11" s="4" t="inlineStr">
        <is>
          <t>中国半导体已IPO企业（2025以来）</t>
        </is>
      </c>
      <c r="B11" s="5" t="n">
        <v>10</v>
      </c>
      <c r="C11" s="5" t="inlineStr">
        <is>
          <t>家</t>
        </is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16" customWidth="1" min="3" max="3"/>
    <col width="30" customWidth="1" min="4" max="4"/>
    <col width="25" customWidth="1" min="5" max="5"/>
    <col width="40" customWidth="1" min="6" max="6"/>
  </cols>
  <sheetData>
    <row r="1">
      <c r="A1" s="1" t="inlineStr">
        <is>
          <t>顶会论文收藏</t>
        </is>
      </c>
    </row>
    <row r="3">
      <c r="A3" s="3" t="inlineStr">
        <is>
          <t>论文标题</t>
        </is>
      </c>
      <c r="B3" s="3" t="inlineStr">
        <is>
          <t>会议</t>
        </is>
      </c>
      <c r="C3" s="3" t="inlineStr">
        <is>
          <t>奖项</t>
        </is>
      </c>
      <c r="D3" s="3" t="inlineStr">
        <is>
          <t>机构</t>
        </is>
      </c>
      <c r="E3" s="3" t="inlineStr">
        <is>
          <t>关键指标</t>
        </is>
      </c>
      <c r="F3" s="3" t="inlineStr">
        <is>
          <t>链接</t>
        </is>
      </c>
    </row>
    <row r="4">
      <c r="A4" s="10" t="inlineStr">
        <is>
          <t>D4RT: Unified, Fast 4D Scene Reconstruction &amp; Tracking</t>
        </is>
      </c>
      <c r="B4" s="4" t="inlineStr">
        <is>
          <t>CVPR 2026</t>
        </is>
      </c>
      <c r="C4" s="4" t="inlineStr">
        <is>
          <t>最佳论文</t>
        </is>
      </c>
      <c r="D4" s="4" t="inlineStr">
        <is>
          <t>Google DeepMind, UCL, Oxford</t>
        </is>
      </c>
      <c r="E4" s="4" t="inlineStr">
        <is>
          <t>速度提升18-300x</t>
        </is>
      </c>
      <c r="F4" s="10" t="inlineStr">
        <is>
          <t>https://arxiv.org/abs/2512.08924</t>
        </is>
      </c>
    </row>
    <row r="5">
      <c r="A5" s="10" t="inlineStr">
        <is>
          <t>TRELLIS.2: Native and Compact Structured Latents for 3D Generation</t>
        </is>
      </c>
      <c r="B5" s="4" t="inlineStr">
        <is>
          <t>CVPR 2026</t>
        </is>
      </c>
      <c r="C5" s="4" t="inlineStr">
        <is>
          <t>最佳学生论文</t>
        </is>
      </c>
      <c r="D5" s="4" t="inlineStr">
        <is>
          <t>清华大学、微软研究院、中国科学技术大学</t>
        </is>
      </c>
      <c r="E5" s="4" t="inlineStr">
        <is>
          <t>17秒生成游戏级PBR资产</t>
        </is>
      </c>
      <c r="F5" s="10" t="inlineStr">
        <is>
          <t>https://arxiv.org/abs/2512.14692</t>
        </is>
      </c>
    </row>
    <row r="6">
      <c r="A6" s="10" t="inlineStr">
        <is>
          <t>NitroGen: An Open Foundation Model for Generalist Gaming Agents</t>
        </is>
      </c>
      <c r="B6" s="4" t="inlineStr">
        <is>
          <t>CVPR 2026</t>
        </is>
      </c>
      <c r="C6" s="4" t="inlineStr">
        <is>
          <t>最佳论文荣誉提名</t>
        </is>
      </c>
      <c r="D6" s="4" t="inlineStr">
        <is>
          <t>NVIDIA</t>
        </is>
      </c>
      <c r="E6" s="4" t="inlineStr">
        <is>
          <t>40,000小时训练数据，1000+游戏泛化</t>
        </is>
      </c>
      <c r="F6" s="10" t="inlineStr">
        <is>
          <t>https://arxiv.org/abs/2601.02427</t>
        </is>
      </c>
    </row>
    <row r="7">
      <c r="A7" s="10" t="inlineStr">
        <is>
          <t>Transformers are Inherently Succinct</t>
        </is>
      </c>
      <c r="B7" s="4" t="inlineStr">
        <is>
          <t>ICLR 2026</t>
        </is>
      </c>
      <c r="C7" s="4" t="inlineStr">
        <is>
          <t>杰出论文奖</t>
        </is>
      </c>
      <c r="D7" s="4" t="inlineStr">
        <is>
          <t>ETH Zurich, MPI-SWS</t>
        </is>
      </c>
      <c r="E7" s="4" t="inlineStr">
        <is>
          <t>指数级简洁性证明 + EXPSPACE验证不可能性</t>
        </is>
      </c>
      <c r="F7" s="10" t="inlineStr">
        <is>
          <t>https://arxiv.org/abs/2510.19315</t>
        </is>
      </c>
    </row>
    <row r="8">
      <c r="A8" s="10" t="inlineStr">
        <is>
          <t>LLMs Get Lost In Multi-Turn Conversation</t>
        </is>
      </c>
      <c r="B8" s="4" t="inlineStr">
        <is>
          <t>ICLR 2026</t>
        </is>
      </c>
      <c r="C8" s="4" t="inlineStr">
        <is>
          <t>杰出论文奖</t>
        </is>
      </c>
      <c r="D8" s="4" t="inlineStr">
        <is>
          <t>Salesforce AI Research</t>
        </is>
      </c>
      <c r="E8" s="4" t="inlineStr">
        <is>
          <t>多轮对话性能下降39%，纠正失败率&gt;95%</t>
        </is>
      </c>
      <c r="F8" s="10" t="inlineStr">
        <is>
          <t>https://arxiv.org/abs/2505.06120</t>
        </is>
      </c>
    </row>
    <row r="9">
      <c r="A9" s="10" t="inlineStr">
        <is>
          <t>OPUS: Towards Efficient and Principled Data Selection in Large Language Model Pre-training in Every Iteration</t>
        </is>
      </c>
      <c r="B9" s="4" t="inlineStr">
        <is>
          <t>ICML 2026</t>
        </is>
      </c>
      <c r="C9" s="4" t="inlineStr">
        <is>
          <t>Oral</t>
        </is>
      </c>
      <c r="D9" s="4" t="inlineStr">
        <is>
          <t>未公开</t>
        </is>
      </c>
      <c r="E9" s="4" t="inlineStr">
        <is>
          <t>1/7数据超越全量训练</t>
        </is>
      </c>
      <c r="F9" s="10" t="inlineStr">
        <is>
          <t>https://arxiv.org/abs/2602.05400</t>
        </is>
      </c>
    </row>
    <row r="10">
      <c r="A10" s="10" t="inlineStr">
        <is>
          <t>Do We Need Adam? Surprisingly Strong and Sparse Reinforcement Learning with SGD in LLMs</t>
        </is>
      </c>
      <c r="B10" s="4" t="inlineStr">
        <is>
          <t>ICML 2026</t>
        </is>
      </c>
      <c r="C10" s="4" t="inlineStr">
        <is>
          <t>Oral</t>
        </is>
      </c>
      <c r="D10" s="4" t="inlineStr">
        <is>
          <t>未公开</t>
        </is>
      </c>
      <c r="E10" s="4" t="inlineStr">
        <is>
          <t>0.02%参数更新匹配AdamW</t>
        </is>
      </c>
      <c r="F10" s="10" t="inlineStr">
        <is>
          <t>https://arxiv.org/abs/2602.07729</t>
        </is>
      </c>
    </row>
    <row r="11">
      <c r="A11" s="10" t="inlineStr">
        <is>
          <t>Are VLMs Seeing or Just Saying? Uncovering the Illusion of Visual Perception in Multimodal LLMs</t>
        </is>
      </c>
      <c r="B11" s="4" t="inlineStr">
        <is>
          <t>ICML 2026</t>
        </is>
      </c>
      <c r="C11" s="4" t="inlineStr">
        <is>
          <t>Oral</t>
        </is>
      </c>
      <c r="D11" s="4" t="inlineStr">
        <is>
          <t>未公开</t>
        </is>
      </c>
      <c r="E11" s="4" t="inlineStr">
        <is>
          <t>thinking模型视觉幻觉3倍于普通VLM</t>
        </is>
      </c>
      <c r="F11" s="10" t="inlineStr">
        <is>
          <t>https://arxiv.org/abs/2605.15864</t>
        </is>
      </c>
    </row>
    <row r="12">
      <c r="A12" s="10" t="inlineStr">
        <is>
          <t>PP-OCRv6: From 1.5M to 34.5M Parameters, Surpassing Billion-Scale VLMs</t>
        </is>
      </c>
      <c r="B12" s="4" t="inlineStr">
        <is>
          <t>arXiv 2026</t>
        </is>
      </c>
      <c r="C12" s="4" t="inlineStr"/>
      <c r="D12" s="4" t="inlineStr"/>
      <c r="E12" s="4" t="inlineStr"/>
      <c r="F12" s="10" t="inlineStr">
        <is>
          <t>https://arxiv.org/abs/2606.13108</t>
        </is>
      </c>
    </row>
    <row r="13">
      <c r="A13" s="10" t="inlineStr">
        <is>
          <t>SENTINEL: Failure-Driven RL for Tool-Using LLM Agents</t>
        </is>
      </c>
      <c r="B13" s="4" t="inlineStr">
        <is>
          <t>arXiv 2026</t>
        </is>
      </c>
      <c r="C13" s="4" t="inlineStr"/>
      <c r="D13" s="4" t="inlineStr"/>
      <c r="E13" s="4" t="inlineStr"/>
      <c r="F13" s="10" t="inlineStr">
        <is>
          <t>https://arxiv.org/abs/2606.12908</t>
        </is>
      </c>
    </row>
    <row r="14">
      <c r="A14" s="10" t="inlineStr">
        <is>
          <t>Boltzmann Attention: Learnable Ising Couplings for Cooperative Attention</t>
        </is>
      </c>
      <c r="B14" s="4" t="inlineStr">
        <is>
          <t>arXiv 2026</t>
        </is>
      </c>
      <c r="C14" s="4" t="inlineStr"/>
      <c r="D14" s="4" t="inlineStr"/>
      <c r="E14" s="4" t="inlineStr"/>
      <c r="F14" s="10" t="inlineStr">
        <is>
          <t>https://arxiv.org/abs/2606.12478</t>
        </is>
      </c>
    </row>
    <row r="15">
      <c r="A15" s="10" t="inlineStr">
        <is>
          <t>HYDRA-X: Native Unified Multimodal Models with Holistic Visual Tokenizers</t>
        </is>
      </c>
      <c r="B15" s="4" t="inlineStr">
        <is>
          <t>arXiv 2026</t>
        </is>
      </c>
      <c r="C15" s="4" t="inlineStr"/>
      <c r="D15" s="4" t="inlineStr"/>
      <c r="E15" s="4" t="inlineStr"/>
      <c r="F15" s="10" t="inlineStr">
        <is>
          <t>https://arxiv.org/abs/2606.13289</t>
        </is>
      </c>
    </row>
    <row r="16">
      <c r="A16" s="10" t="inlineStr">
        <is>
          <t>The Hidden Power of Scaling Factor in LoRA Optimization</t>
        </is>
      </c>
      <c r="B16" s="4" t="inlineStr">
        <is>
          <t>arXiv 2026</t>
        </is>
      </c>
      <c r="C16" s="4" t="inlineStr"/>
      <c r="D16" s="4" t="inlineStr"/>
      <c r="E16" s="4" t="inlineStr"/>
      <c r="F16" s="10" t="inlineStr">
        <is>
          <t>https://arxiv.org/abs/2606.12883</t>
        </is>
      </c>
    </row>
    <row r="17">
      <c r="A17" s="10" t="inlineStr">
        <is>
          <t>PP-OCRv6: From 1.5M to 34.5M Parameters, Surpassing Billion-Scale VLMs</t>
        </is>
      </c>
      <c r="B17" s="4" t="inlineStr">
        <is>
          <t>arXiv 2026</t>
        </is>
      </c>
      <c r="C17" s="4" t="inlineStr"/>
      <c r="D17" s="4" t="inlineStr"/>
      <c r="E17" s="4" t="inlineStr"/>
      <c r="F17" s="10" t="inlineStr">
        <is>
          <t>https://arxiv.org/abs/2606.13108</t>
        </is>
      </c>
    </row>
    <row r="18">
      <c r="A18" s="10" t="inlineStr">
        <is>
          <t>SENTINEL: Failure-Driven Reinforcement Learning for Tool-Using LLM Agents</t>
        </is>
      </c>
      <c r="B18" s="4" t="inlineStr">
        <is>
          <t>arXiv 2026</t>
        </is>
      </c>
      <c r="C18" s="4" t="inlineStr"/>
      <c r="D18" s="4" t="inlineStr"/>
      <c r="E18" s="4" t="inlineStr"/>
      <c r="F18" s="10" t="inlineStr">
        <is>
          <t>https://arxiv.org/abs/2606.12908</t>
        </is>
      </c>
    </row>
    <row r="19">
      <c r="A19" s="10" t="inlineStr">
        <is>
          <t>Boltzmann Attention: Learnable Ising Couplings for Cooperative Attention</t>
        </is>
      </c>
      <c r="B19" s="4" t="inlineStr">
        <is>
          <t>arXiv 2026</t>
        </is>
      </c>
      <c r="C19" s="4" t="inlineStr"/>
      <c r="D19" s="4" t="inlineStr"/>
      <c r="E19" s="4" t="inlineStr"/>
      <c r="F19" s="10" t="inlineStr">
        <is>
          <t>https://arxiv.org/abs/2606.12478</t>
        </is>
      </c>
    </row>
    <row r="20">
      <c r="A20" s="10" t="inlineStr">
        <is>
          <t>HYDRA-X: Native Unified Multimodal Models with Holistic Visual Tokenizers</t>
        </is>
      </c>
      <c r="B20" s="4" t="inlineStr">
        <is>
          <t>arXiv 2026</t>
        </is>
      </c>
      <c r="C20" s="4" t="inlineStr"/>
      <c r="D20" s="4" t="inlineStr"/>
      <c r="E20" s="4" t="inlineStr"/>
      <c r="F20" s="10" t="inlineStr">
        <is>
          <t>https://arxiv.org/abs/2606.13289</t>
        </is>
      </c>
    </row>
    <row r="21">
      <c r="A21" s="10" t="inlineStr">
        <is>
          <t>The Hidden Power of Scaling Factor in LoRA Optimization</t>
        </is>
      </c>
      <c r="B21" s="4" t="inlineStr">
        <is>
          <t>arXiv 2026</t>
        </is>
      </c>
      <c r="C21" s="4" t="inlineStr"/>
      <c r="D21" s="4" t="inlineStr"/>
      <c r="E21" s="4" t="inlineStr"/>
      <c r="F21" s="10" t="inlineStr">
        <is>
          <t>https://arxiv.org/abs/2606.12883</t>
        </is>
      </c>
    </row>
    <row r="22">
      <c r="A22" s="10" t="inlineStr">
        <is>
          <t>ExpWeaver: LLM Agents Learn from Experience via Latent RAG</t>
        </is>
      </c>
      <c r="B22" s="4" t="inlineStr">
        <is>
          <t>arXiv 2026</t>
        </is>
      </c>
      <c r="C22" s="4" t="inlineStr"/>
      <c r="D22" s="4" t="inlineStr"/>
      <c r="E22" s="4" t="inlineStr"/>
      <c r="F22" s="10" t="inlineStr">
        <is>
          <t>https://arxiv.org/abs/2606.01041</t>
        </is>
      </c>
    </row>
    <row r="23">
      <c r="A23" s="10" t="inlineStr">
        <is>
          <t>REFLECT: Intervention-Supported Error Attribution for Silent Failures in LLM Agents</t>
        </is>
      </c>
      <c r="B23" s="4" t="inlineStr">
        <is>
          <t>arXiv 2026</t>
        </is>
      </c>
      <c r="C23" s="4" t="inlineStr"/>
      <c r="D23" s="4" t="inlineStr"/>
      <c r="E23" s="4" t="inlineStr"/>
      <c r="F23" s="10" t="inlineStr">
        <is>
          <t>https://arxiv.org/abs/2606.09071</t>
        </is>
      </c>
    </row>
    <row r="24">
      <c r="A24" s="10" t="inlineStr">
        <is>
          <t>PP-OCRv6: From 1.5M to 34.5M Parameters, Surpassing Billion-Scale VLMs</t>
        </is>
      </c>
      <c r="B24" s="4" t="inlineStr">
        <is>
          <t>arXiv 2026</t>
        </is>
      </c>
      <c r="C24" s="4" t="inlineStr"/>
      <c r="D24" s="4" t="inlineStr">
        <is>
          <t>百度</t>
        </is>
      </c>
      <c r="E24" s="4" t="inlineStr">
        <is>
          <t>34.5M参数超越Billion-scale VLM</t>
        </is>
      </c>
      <c r="F24" s="10" t="inlineStr">
        <is>
          <t>https://arxiv.org/abs/2606.13108</t>
        </is>
      </c>
    </row>
    <row r="25">
      <c r="A25" s="10" t="inlineStr">
        <is>
          <t>SENTINEL: Failure-Driven Reinforcement Learning for Tool-Using LLM Agents</t>
        </is>
      </c>
      <c r="B25" s="4" t="inlineStr">
        <is>
          <t>arXiv 2026</t>
        </is>
      </c>
      <c r="C25" s="4" t="inlineStr"/>
      <c r="D25" s="4" t="inlineStr">
        <is>
          <t>未公开</t>
        </is>
      </c>
      <c r="E25" s="4" t="inlineStr">
        <is>
          <t>训练效率提升3-5x</t>
        </is>
      </c>
      <c r="F25" s="10" t="inlineStr">
        <is>
          <t>https://arxiv.org/abs/2606.12908</t>
        </is>
      </c>
    </row>
    <row r="26">
      <c r="A26" s="10" t="inlineStr">
        <is>
          <t>Boltzmann Attention: Learnable Ising Couplings for Cooperative Attention</t>
        </is>
      </c>
      <c r="B26" s="4" t="inlineStr">
        <is>
          <t>arXiv 2026</t>
        </is>
      </c>
      <c r="C26" s="4" t="inlineStr"/>
      <c r="D26" s="4" t="inlineStr">
        <is>
          <t>未公开</t>
        </is>
      </c>
      <c r="E26" s="4" t="inlineStr">
        <is>
          <t>注意力协同效果提升</t>
        </is>
      </c>
      <c r="F26" s="10" t="inlineStr">
        <is>
          <t>https://arxiv.org/abs/2606.12478</t>
        </is>
      </c>
    </row>
    <row r="27">
      <c r="A27" s="10" t="inlineStr">
        <is>
          <t>HYDRA-X: Native Unified Multimodal Models with Holistic Visual Tokenizers</t>
        </is>
      </c>
      <c r="B27" s="4" t="inlineStr">
        <is>
          <t>arXiv 2026</t>
        </is>
      </c>
      <c r="C27" s="4" t="inlineStr"/>
      <c r="D27" s="4" t="inlineStr">
        <is>
          <t>未公开</t>
        </is>
      </c>
      <c r="E27" s="4" t="inlineStr">
        <is>
          <t>统一多模态架构</t>
        </is>
      </c>
      <c r="F27" s="10" t="inlineStr">
        <is>
          <t>https://arxiv.org/abs/2606.13289</t>
        </is>
      </c>
    </row>
    <row r="28">
      <c r="A28" s="10" t="inlineStr">
        <is>
          <t>The Hidden Power of Scaling Factor in LoRA Optimization</t>
        </is>
      </c>
      <c r="B28" s="4" t="inlineStr">
        <is>
          <t>arXiv 2026</t>
        </is>
      </c>
      <c r="C28" s="4" t="inlineStr"/>
      <c r="D28" s="4" t="inlineStr">
        <is>
          <t>未公开</t>
        </is>
      </c>
      <c r="E28" s="4" t="inlineStr">
        <is>
          <t>NLP/CV任务提升1-3pp</t>
        </is>
      </c>
      <c r="F28" s="10" t="inlineStr">
        <is>
          <t>https://arxiv.org/abs/2606.12883</t>
        </is>
      </c>
    </row>
    <row r="29">
      <c r="A29" s="10" t="inlineStr">
        <is>
          <t>ExpWeaver: LLM Agents Learn from Experience via Latent RAG</t>
        </is>
      </c>
      <c r="B29" s="4" t="inlineStr">
        <is>
          <t>arXiv 2026</t>
        </is>
      </c>
      <c r="C29" s="4" t="inlineStr"/>
      <c r="D29" s="4" t="inlineStr">
        <is>
          <t>未公开</t>
        </is>
      </c>
      <c r="E29" s="4" t="inlineStr">
        <is>
          <t>Agent经验复用</t>
        </is>
      </c>
      <c r="F29" s="10" t="inlineStr">
        <is>
          <t>https://arxiv.org/abs/2606.01041</t>
        </is>
      </c>
    </row>
    <row r="30">
      <c r="A30" s="10" t="inlineStr">
        <is>
          <t>REFLECT: Intervention-Supported Error Attribution for Silent Failures in LLM Agents</t>
        </is>
      </c>
      <c r="B30" s="4" t="inlineStr">
        <is>
          <t>arXiv 2026</t>
        </is>
      </c>
      <c r="C30" s="4" t="inlineStr"/>
      <c r="D30" s="4" t="inlineStr">
        <is>
          <t>未公开</t>
        </is>
      </c>
      <c r="E30" s="4" t="inlineStr">
        <is>
          <t>错误检测率+40%</t>
        </is>
      </c>
      <c r="F30" s="10" t="inlineStr">
        <is>
          <t>https://arxiv.org/abs/2606.09071</t>
        </is>
      </c>
    </row>
  </sheetData>
  <mergeCells count="1">
    <mergeCell ref="A1:F1"/>
  </mergeCells>
  <conditionalFormatting sqref="C4:C30">
    <cfRule type="cellIs" priority="1" operator="containsText" dxfId="0">
      <formula>"最佳论文"</formula>
    </cfRule>
    <cfRule type="cellIs" priority="2" operator="containsText" dxfId="1">
      <formula>"杰出论文"</formula>
    </cfRule>
    <cfRule type="cellIs" priority="3" operator="containsText" dxfId="2">
      <formula>"Oral"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12" customWidth="1" min="1" max="1"/>
    <col width="45" customWidth="1" min="2" max="2"/>
    <col width="16" customWidth="1" min="3" max="3"/>
    <col width="12" customWidth="1" min="4" max="4"/>
    <col width="50" customWidth="1" min="5" max="5"/>
    <col width="25" customWidth="1" min="6" max="6"/>
  </cols>
  <sheetData>
    <row r="1">
      <c r="A1" s="1" t="inlineStr">
        <is>
          <t>科技新闻动态</t>
        </is>
      </c>
    </row>
    <row r="3">
      <c r="A3" s="3" t="inlineStr">
        <is>
          <t>日期</t>
        </is>
      </c>
      <c r="B3" s="3" t="inlineStr">
        <is>
          <t>标题</t>
        </is>
      </c>
      <c r="C3" s="3" t="inlineStr">
        <is>
          <t>类别</t>
        </is>
      </c>
      <c r="D3" s="3" t="inlineStr">
        <is>
          <t>重要程度</t>
        </is>
      </c>
      <c r="E3" s="3" t="inlineStr">
        <is>
          <t>摘要</t>
        </is>
      </c>
      <c r="F3" s="3" t="inlineStr">
        <is>
          <t>来源</t>
        </is>
      </c>
    </row>
    <row r="4">
      <c r="A4" s="5" t="inlineStr">
        <is>
          <t>2026-04-01</t>
        </is>
      </c>
      <c r="B4" s="10" t="inlineStr">
        <is>
          <t>DeepSeek-V4预览版发布</t>
        </is>
      </c>
      <c r="C4" s="4" t="inlineStr">
        <is>
          <t>AI</t>
        </is>
      </c>
      <c r="D4" s="5" t="inlineStr">
        <is>
          <t>5</t>
        </is>
      </c>
      <c r="E4" s="10" t="inlineStr">
        <is>
          <t>具备世界顶级推理性能，Agent能力大幅提高，聚焦编程能力与超长代码上下文处理</t>
        </is>
      </c>
      <c r="F4" s="4" t="inlineStr">
        <is>
          <t>https://www.deepseek.com/</t>
        </is>
      </c>
    </row>
    <row r="5">
      <c r="A5" s="5" t="inlineStr">
        <is>
          <t>2026-04-04</t>
        </is>
      </c>
      <c r="B5" s="10" t="inlineStr">
        <is>
          <t>证监会：2026年将深化细化高频量化交易监管</t>
        </is>
      </c>
      <c r="C5" s="4" t="inlineStr">
        <is>
          <t>股市应用</t>
        </is>
      </c>
      <c r="D5" s="5" t="inlineStr">
        <is>
          <t>4</t>
        </is>
      </c>
      <c r="E5" s="10" t="inlineStr">
        <is>
          <t>证监会主席吴清明确表示将突出公平性原则，深化细化高频量化交易监管</t>
        </is>
      </c>
      <c r="F5" s="4" t="inlineStr">
        <is>
          <t>https://www.cls.cn/detail/2305311</t>
        </is>
      </c>
    </row>
    <row r="6">
      <c r="A6" s="5" t="inlineStr">
        <is>
          <t>2026-04-08</t>
        </is>
      </c>
      <c r="B6" s="10" t="inlineStr">
        <is>
          <t>中国半导体迎IPO潮</t>
        </is>
      </c>
      <c r="C6" s="4" t="inlineStr">
        <is>
          <t>半导体</t>
        </is>
      </c>
      <c r="D6" s="5" t="inlineStr">
        <is>
          <t>4</t>
        </is>
      </c>
      <c r="E6" s="10" t="inlineStr">
        <is>
          <t>2025年以来已有10家半导体企业成功IPO，另有85家正在排队申报，涵盖全链条</t>
        </is>
      </c>
      <c r="F6" s="4" t="inlineStr">
        <is>
          <t>https://www.21jingji.com/article/20260108/herald/ae6b3053295d5eca7a34a680d716147e.html</t>
        </is>
      </c>
    </row>
    <row r="7">
      <c r="A7" s="5" t="inlineStr">
        <is>
          <t>2026-04-10</t>
        </is>
      </c>
      <c r="B7" s="10" t="inlineStr">
        <is>
          <t>国内'百模大战'再升级</t>
        </is>
      </c>
      <c r="C7" s="4" t="inlineStr">
        <is>
          <t>AI</t>
        </is>
      </c>
      <c r="D7" s="5" t="inlineStr">
        <is>
          <t>4</t>
        </is>
      </c>
      <c r="E7" s="10" t="inlineStr">
        <is>
          <t>阿里、字节跳动、腾讯几乎在同一时期密集发布大模型更新，推理成本持续下降</t>
        </is>
      </c>
      <c r="F7" s="4" t="inlineStr">
        <is>
          <t>https://www.cnblogs.com/ycfenxi/p/20027870</t>
        </is>
      </c>
    </row>
    <row r="8">
      <c r="A8" s="5" t="inlineStr">
        <is>
          <t>2026-04-15</t>
        </is>
      </c>
      <c r="B8" s="10" t="inlineStr">
        <is>
          <t>英伟达股价10连涨</t>
        </is>
      </c>
      <c r="C8" s="4" t="inlineStr">
        <is>
          <t>股市应用/半导体</t>
        </is>
      </c>
      <c r="D8" s="5" t="inlineStr">
        <is>
          <t>4</t>
        </is>
      </c>
      <c r="E8" s="10" t="inlineStr">
        <is>
          <t>英伟达股价实现10个交易日连涨，累计涨幅超18%，为2023年后最长连涨纪录</t>
        </is>
      </c>
      <c r="F8" s="4" t="inlineStr">
        <is>
          <t>https://finance.sina.com.cn/world/2026-04-15/doc-inhupkrh4339902.shtml</t>
        </is>
      </c>
    </row>
    <row r="9">
      <c r="A9" s="5" t="inlineStr">
        <is>
          <t>2026-04-28</t>
        </is>
      </c>
      <c r="B9" s="10" t="inlineStr">
        <is>
          <t>雷军：小米自研芯片出货超百万颗</t>
        </is>
      </c>
      <c r="C9" s="4" t="inlineStr">
        <is>
          <t>半导体</t>
        </is>
      </c>
      <c r="D9" s="5" t="inlineStr">
        <is>
          <t>3</t>
        </is>
      </c>
      <c r="E9" s="10" t="inlineStr">
        <is>
          <t>小米玄戒系列自研芯片累计出货已超百万颗，同时新款小米机器人正式亮相</t>
        </is>
      </c>
      <c r="F9" s="4" t="inlineStr">
        <is>
          <t>https://www.guancha.cn/economy/2026_04_28_815212.shtml</t>
        </is>
      </c>
    </row>
    <row r="10">
      <c r="A10" s="5" t="inlineStr">
        <is>
          <t>2026-04-29</t>
        </is>
      </c>
      <c r="B10" s="10" t="inlineStr">
        <is>
          <t>OpenAI发布GPT-5.5</t>
        </is>
      </c>
      <c r="C10" s="4" t="inlineStr">
        <is>
          <t>AI</t>
        </is>
      </c>
      <c r="D10" s="5" t="inlineStr">
        <is>
          <t>5</t>
        </is>
      </c>
      <c r="E10" s="10" t="inlineStr">
        <is>
          <t>与DeepSeek V4几乎同期登场，全球大模型进入'7大模型混战'格局</t>
        </is>
      </c>
      <c r="F10" s="4" t="inlineStr">
        <is>
          <t>https://finance.sina.com.cn/wm/2026-04-29/doc-inhwcvff1034726.shtml</t>
        </is>
      </c>
    </row>
    <row r="11">
      <c r="A11" s="5" t="inlineStr">
        <is>
          <t>2026-05-08</t>
        </is>
      </c>
      <c r="B11" s="10" t="inlineStr">
        <is>
          <t>Figure发布双机协作人形机器人视频</t>
        </is>
      </c>
      <c r="C11" s="4" t="inlineStr">
        <is>
          <t>AI</t>
        </is>
      </c>
      <c r="D11" s="5" t="inlineStr">
        <is>
          <t>3</t>
        </is>
      </c>
      <c r="E11" s="10" t="inlineStr">
        <is>
          <t>两台搭载Helix02系统的人形机器人在卧室场景中连续完成复杂协作任务</t>
        </is>
      </c>
      <c r="F11" s="4" t="inlineStr">
        <is>
          <t>https://www.aibangbots.com/a/8691</t>
        </is>
      </c>
    </row>
    <row r="12">
      <c r="A12" s="5" t="inlineStr">
        <is>
          <t>2026-05-14</t>
        </is>
      </c>
      <c r="B12" s="10" t="inlineStr">
        <is>
          <t>Anthropic发布Claude 4</t>
        </is>
      </c>
      <c r="C12" s="4" t="inlineStr">
        <is>
          <t>AI</t>
        </is>
      </c>
      <c r="D12" s="5" t="inlineStr">
        <is>
          <t>5</t>
        </is>
      </c>
      <c r="E12" s="10" t="inlineStr">
        <is>
          <t>被称为公司历史上最强大的AI模型，Claude Opus 4被评为全球最佳编程模型，Agentic能力显著增强</t>
        </is>
      </c>
      <c r="F12" s="4" t="inlineStr">
        <is>
          <t>https://www.anthropic.com/news/claude-4</t>
        </is>
      </c>
    </row>
    <row r="13">
      <c r="A13" s="5" t="inlineStr">
        <is>
          <t>2026-05-20</t>
        </is>
      </c>
      <c r="B13" s="10" t="inlineStr">
        <is>
          <t>Google I/O 2026</t>
        </is>
      </c>
      <c r="C13" s="4" t="inlineStr">
        <is>
          <t>AI</t>
        </is>
      </c>
      <c r="D13" s="5" t="inlineStr">
        <is>
          <t>5</t>
        </is>
      </c>
      <c r="E13" s="10" t="inlineStr">
        <is>
          <t>发布Gemini 3.5 Flash、视频模型Omni、全天候AI代理Spark及Android XR，全面聚焦Agentic AI</t>
        </is>
      </c>
      <c r="F13" s="4" t="inlineStr">
        <is>
          <t>https://finance.sina.com.cn/stock/t/2026-05-20/doc-inhynvwq2736993.shtml</t>
        </is>
      </c>
    </row>
    <row r="14">
      <c r="A14" s="5" t="inlineStr">
        <is>
          <t>2026-05-28</t>
        </is>
      </c>
      <c r="B14" s="10" t="inlineStr">
        <is>
          <t>雷军预告小米'三项自研大会师'</t>
        </is>
      </c>
      <c r="C14" s="4" t="inlineStr">
        <is>
          <t>半导体/AI</t>
        </is>
      </c>
      <c r="D14" s="5" t="inlineStr">
        <is>
          <t>3</t>
        </is>
      </c>
      <c r="E14" s="10" t="inlineStr">
        <is>
          <t>2026年小米最重磅新品将实现自研芯片（玄戒）、自研OS（澎湃OS）、AI大模型三项'大会师'</t>
        </is>
      </c>
      <c r="F14" s="4" t="inlineStr">
        <is>
          <t>https://finance.sina.com.cn/tech/roll/2026-05-28/doc-inhzmtwq8605304.shtml</t>
        </is>
      </c>
    </row>
    <row r="15">
      <c r="A15" s="5" t="inlineStr">
        <is>
          <t>2026-06-01</t>
        </is>
      </c>
      <c r="B15" s="10" t="inlineStr">
        <is>
          <t>证券APP全面AI原生转型</t>
        </is>
      </c>
      <c r="C15" s="4" t="inlineStr">
        <is>
          <t>股市应用</t>
        </is>
      </c>
      <c r="D15" s="5" t="inlineStr">
        <is>
          <t>4</t>
        </is>
      </c>
      <c r="E15" s="10" t="inlineStr">
        <is>
          <t>华泰证券推出'AI涨乐'（业内首款AI原生交易APP），国泰君安发布'君弘灵犀'垂类大模型。AI量化交易全年有望达A股总成交额36.8%</t>
        </is>
      </c>
      <c r="F15" s="4" t="inlineStr">
        <is>
          <t>https://www.ithome.com/0/928/052.htm</t>
        </is>
      </c>
    </row>
    <row r="16">
      <c r="A16" s="5" t="inlineStr">
        <is>
          <t>2026-06-01</t>
        </is>
      </c>
      <c r="B16" s="10" t="inlineStr">
        <is>
          <t>全球半导体与AI市场预测密集发布</t>
        </is>
      </c>
      <c r="C16" s="4" t="inlineStr">
        <is>
          <t>半导体/AI</t>
        </is>
      </c>
      <c r="D16" s="5" t="inlineStr">
        <is>
          <t>5</t>
        </is>
      </c>
      <c r="E16" s="10" t="inlineStr">
        <is>
          <t>Gartner预计2026年全球半导体收入超1.3万亿美元(+64%)；IDC预测2026年全球AI市场3010亿美元(+35.2%)；中国成熟制程芯片出口前四个月同比+100.1%</t>
        </is>
      </c>
      <c r="F16" s="4" t="inlineStr">
        <is>
          <t>Gartner, IDC, 国际电子商情</t>
        </is>
      </c>
    </row>
    <row r="17">
      <c r="A17" s="5" t="inlineStr">
        <is>
          <t>2026-06-12</t>
        </is>
      </c>
      <c r="B17" s="10" t="inlineStr">
        <is>
          <t>美国商务部新规封堵AI芯片流向中企海外分支</t>
        </is>
      </c>
      <c r="C17" s="4" t="inlineStr">
        <is>
          <t>芯片出口管制</t>
        </is>
      </c>
      <c r="D17" s="5" t="inlineStr">
        <is>
          <t>high</t>
        </is>
      </c>
      <c r="E17" s="10" t="inlineStr">
        <is>
          <t>商务部发布最新出口管制细则，进一步封堵中国企业在海外设立的分支机构获取先进AI芯片的渠道</t>
        </is>
      </c>
      <c r="F17" s="4" t="inlineStr">
        <is>
          <t>Reuters</t>
        </is>
      </c>
    </row>
    <row r="18">
      <c r="A18" s="5" t="inlineStr">
        <is>
          <t>2026-06-12</t>
        </is>
      </c>
      <c r="B18" s="10" t="inlineStr">
        <is>
          <t>英伟达CEO黄仁勋拒绝出席参议院AI芯片出口听证会</t>
        </is>
      </c>
      <c r="C18" s="4" t="inlineStr">
        <is>
          <t>AI芯片</t>
        </is>
      </c>
      <c r="D18" s="5" t="inlineStr">
        <is>
          <t>high</t>
        </is>
      </c>
      <c r="E18" s="10" t="inlineStr">
        <is>
          <t>黄仁勋以日程冲突为由拒绝出席，此前6月8日在首尔称半导体股票暴跌是买入机会</t>
        </is>
      </c>
      <c r="F18" s="4" t="inlineStr">
        <is>
          <t>CNBC</t>
        </is>
      </c>
    </row>
    <row r="19">
      <c r="A19" s="5" t="inlineStr">
        <is>
          <t>2026-06-12</t>
        </is>
      </c>
      <c r="B19" s="10" t="inlineStr">
        <is>
          <t>苹果WWDC 2026发布Google Gemini驱动的全新Siri AI</t>
        </is>
      </c>
      <c r="C19" s="4" t="inlineStr">
        <is>
          <t>AI产品</t>
        </is>
      </c>
      <c r="D19" s="5" t="inlineStr">
        <is>
          <t>high</t>
        </is>
      </c>
      <c r="E19" s="10" t="inlineStr">
        <is>
          <t>苹果Siri全面接入Google Gemini大模型，实现跨App智能操作、上下文理解和多轮对话</t>
        </is>
      </c>
      <c r="F19" s="4" t="inlineStr">
        <is>
          <t>TechCrunch</t>
        </is>
      </c>
    </row>
    <row r="20">
      <c r="A20" s="5" t="inlineStr">
        <is>
          <t>2026-06-12</t>
        </is>
      </c>
      <c r="B20" s="10" t="inlineStr">
        <is>
          <t>Anthropic秘密提交S-1，估值9650亿美元逼近万亿</t>
        </is>
      </c>
      <c r="C20" s="4" t="inlineStr">
        <is>
          <t>AI融资/IPO</t>
        </is>
      </c>
      <c r="D20" s="5" t="inlineStr">
        <is>
          <t>high</t>
        </is>
      </c>
      <c r="E20" s="10" t="inlineStr">
        <is>
          <t>Anthropic秘密向SEC提交S-1，最新估值9650亿美元超越OpenAI，计划10月上市</t>
        </is>
      </c>
      <c r="F20" s="4" t="inlineStr">
        <is>
          <t>TechCrunch</t>
        </is>
      </c>
    </row>
    <row r="21">
      <c r="A21" s="5" t="inlineStr">
        <is>
          <t>2026-06-12</t>
        </is>
      </c>
      <c r="B21" s="10" t="inlineStr">
        <is>
          <t>费城半导体指数连续大涨，芯片股创一年最佳表现</t>
        </is>
      </c>
      <c r="C21" s="4" t="inlineStr">
        <is>
          <t>半导体</t>
        </is>
      </c>
      <c r="D21" s="5" t="inlineStr">
        <is>
          <t>medium</t>
        </is>
      </c>
      <c r="E21" s="10" t="inlineStr">
        <is>
          <t>经历6月初暴跌后全球芯片股强劲反弹，费城半导体指数连续三日大涨</t>
        </is>
      </c>
      <c r="F21" s="4" t="inlineStr">
        <is>
          <t>TradingView</t>
        </is>
      </c>
    </row>
    <row r="22">
      <c r="A22" s="5" t="inlineStr">
        <is>
          <t>2026-06-12</t>
        </is>
      </c>
      <c r="B22" s="10" t="inlineStr">
        <is>
          <t>SpaceX史上最大IPO登陆纳斯达克，估值1.75万亿美元</t>
        </is>
      </c>
      <c r="C22" s="4" t="inlineStr">
        <is>
          <t>IPO</t>
        </is>
      </c>
      <c r="D22" s="5" t="inlineStr">
        <is>
          <t>high</t>
        </is>
      </c>
      <c r="E22" s="10" t="inlineStr">
        <is>
          <t>SpaceX发行价135美元，募资约750亿美元，为美国有史以来最大规模IPO</t>
        </is>
      </c>
      <c r="F22" s="4" t="inlineStr">
        <is>
          <t>CNBC</t>
        </is>
      </c>
    </row>
    <row r="23">
      <c r="A23" s="5" t="inlineStr">
        <is>
          <t>2026-06-12</t>
        </is>
      </c>
      <c r="B23" s="10" t="inlineStr">
        <is>
          <t>台积电CoPoS先进封装技术进入量产准备阶段</t>
        </is>
      </c>
      <c r="C23" s="4" t="inlineStr">
        <is>
          <t>半导体制造</t>
        </is>
      </c>
      <c r="D23" s="5" t="inlineStr">
        <is>
          <t>medium</t>
        </is>
      </c>
      <c r="E23" s="10" t="inlineStr">
        <is>
          <t>新型Chip-on-Panel-on-Substrate封装技术预计下半年为AI芯片客户提供服务</t>
        </is>
      </c>
      <c r="F23" s="4" t="inlineStr">
        <is>
          <t>Reuters</t>
        </is>
      </c>
    </row>
    <row r="24">
      <c r="A24" s="5" t="inlineStr">
        <is>
          <t>2026-06-12</t>
        </is>
      </c>
      <c r="B24" s="10" t="inlineStr">
        <is>
          <t>华为AI芯片获字节跳动和阿里巴巴批量订单</t>
        </is>
      </c>
      <c r="C24" s="4" t="inlineStr">
        <is>
          <t>国产芯片</t>
        </is>
      </c>
      <c r="D24" s="5" t="inlineStr">
        <is>
          <t>high</t>
        </is>
      </c>
      <c r="E24" s="10" t="inlineStr">
        <is>
          <t>华为昇腾系列AI芯片获得头部互联网公司批量订单，标志国产AI芯片规模化落地</t>
        </is>
      </c>
      <c r="F24" s="4" t="inlineStr">
        <is>
          <t>供应链消息</t>
        </is>
      </c>
    </row>
    <row r="25">
      <c r="A25" s="5" t="inlineStr">
        <is>
          <t>2026-06-12</t>
        </is>
      </c>
      <c r="B25" s="10" t="inlineStr">
        <is>
          <t>SpaceX史上最大IPO登陆纳斯达克，估值1.77万亿美元</t>
        </is>
      </c>
      <c r="C25" s="4" t="inlineStr">
        <is>
          <t>IPO</t>
        </is>
      </c>
      <c r="D25" s="5" t="inlineStr">
        <is>
          <t>high</t>
        </is>
      </c>
      <c r="E25" s="10" t="inlineStr">
        <is>
          <t>SpaceX发行价135美元，首日收盘161.11美元，募资750亿美元，为美国有史以来最大规模IPO</t>
        </is>
      </c>
      <c r="F25" s="4" t="inlineStr">
        <is>
          <t>新华网</t>
        </is>
      </c>
    </row>
    <row r="26">
      <c r="A26" s="5" t="inlineStr">
        <is>
          <t>2026-06-12</t>
        </is>
      </c>
      <c r="B26" s="10" t="inlineStr">
        <is>
          <t>苹果WWDC 2026发布Siri AI，全面接入Google Gemini</t>
        </is>
      </c>
      <c r="C26" s="4" t="inlineStr">
        <is>
          <t>AI产品</t>
        </is>
      </c>
      <c r="D26" s="5" t="inlineStr">
        <is>
          <t>high</t>
        </is>
      </c>
      <c r="E26" s="10" t="inlineStr">
        <is>
          <t>新一代Siri基于Gemini模型重构，支持自然对话和跨设备任务，但市场反应冷淡，股价跌1.89%</t>
        </is>
      </c>
      <c r="F26" s="4" t="inlineStr">
        <is>
          <t>国际金融报</t>
        </is>
      </c>
    </row>
    <row r="27">
      <c r="A27" s="5" t="inlineStr">
        <is>
          <t>2026-06-12</t>
        </is>
      </c>
      <c r="B27" s="10" t="inlineStr">
        <is>
          <t>Anthropic秘密提交S-1，估值9650亿美元</t>
        </is>
      </c>
      <c r="C27" s="4" t="inlineStr">
        <is>
          <t>AI融资/IPO</t>
        </is>
      </c>
      <c r="D27" s="5" t="inlineStr">
        <is>
          <t>high</t>
        </is>
      </c>
      <c r="E27" s="10" t="inlineStr">
        <is>
          <t>Anthropic已向SEC秘密递交S-1，计划10月上市，Q2营收翻倍，估值首次超越OpenAI</t>
        </is>
      </c>
      <c r="F27" s="4" t="inlineStr">
        <is>
          <t>TechCrunch</t>
        </is>
      </c>
    </row>
    <row r="28">
      <c r="A28" s="5" t="inlineStr">
        <is>
          <t>2026-06-08</t>
        </is>
      </c>
      <c r="B28" s="10" t="inlineStr">
        <is>
          <t>英伟达与SK海力士宣布多年期技术合作</t>
        </is>
      </c>
      <c r="C28" s="4" t="inlineStr">
        <is>
          <t>半导体</t>
        </is>
      </c>
      <c r="D28" s="5" t="inlineStr">
        <is>
          <t>high</t>
        </is>
      </c>
      <c r="E28" s="10" t="inlineStr">
        <is>
          <t>双方将联手研发下一代AI内存，SK海力士为Vera Rubin开发专用内存，采用CUDA-X加速芯片仿真</t>
        </is>
      </c>
      <c r="F28" s="4" t="inlineStr">
        <is>
          <t>财联社</t>
        </is>
      </c>
    </row>
    <row r="29">
      <c r="A29" s="5" t="inlineStr">
        <is>
          <t>2026-06-12</t>
        </is>
      </c>
      <c r="B29" s="10" t="inlineStr">
        <is>
          <t>美国商务部新规封堵AI芯片流向中企海外分支</t>
        </is>
      </c>
      <c r="C29" s="4" t="inlineStr">
        <is>
          <t>芯片出口管制</t>
        </is>
      </c>
      <c r="D29" s="5" t="inlineStr">
        <is>
          <t>high</t>
        </is>
      </c>
      <c r="E29" s="10" t="inlineStr">
        <is>
          <t>最新出口管制细则进一步封堵中国企业在海外分支机构获取先进AI芯片的渠道</t>
        </is>
      </c>
      <c r="F29" s="4" t="inlineStr">
        <is>
          <t>Reuters</t>
        </is>
      </c>
    </row>
    <row r="30">
      <c r="A30" s="5" t="inlineStr">
        <is>
          <t>2026-06-12</t>
        </is>
      </c>
      <c r="B30" s="10" t="inlineStr">
        <is>
          <t>黄仁勋拒绝出席参议院AI芯片出口听证会</t>
        </is>
      </c>
      <c r="C30" s="4" t="inlineStr">
        <is>
          <t>AI芯片</t>
        </is>
      </c>
      <c r="D30" s="5" t="inlineStr">
        <is>
          <t>high</t>
        </is>
      </c>
      <c r="E30" s="10" t="inlineStr">
        <is>
          <t>英伟达CEO以日程冲突为由拒绝出席，此前称半导体股票暴跌是买入机会</t>
        </is>
      </c>
      <c r="F30" s="4" t="inlineStr">
        <is>
          <t>CNBC</t>
        </is>
      </c>
    </row>
    <row r="31">
      <c r="A31" s="5" t="inlineStr">
        <is>
          <t>2026-06-12</t>
        </is>
      </c>
      <c r="B31" s="10" t="inlineStr">
        <is>
          <t>台积电CoPoS先进封装技术进入量产准备阶段</t>
        </is>
      </c>
      <c r="C31" s="4" t="inlineStr">
        <is>
          <t>半导体制造</t>
        </is>
      </c>
      <c r="D31" s="5" t="inlineStr">
        <is>
          <t>medium</t>
        </is>
      </c>
      <c r="E31" s="10" t="inlineStr">
        <is>
          <t>新型Chip-on-Panel-on-Substrate封装技术预计下半年为AI芯片客户提供服务</t>
        </is>
      </c>
      <c r="F31" s="4" t="inlineStr">
        <is>
          <t>Reuters</t>
        </is>
      </c>
    </row>
    <row r="32">
      <c r="A32" s="5" t="inlineStr">
        <is>
          <t>2026-06-12</t>
        </is>
      </c>
      <c r="B32" s="10" t="inlineStr">
        <is>
          <t>华为昇腾芯片获字节跳动和阿里巴巴批量订单</t>
        </is>
      </c>
      <c r="C32" s="4" t="inlineStr">
        <is>
          <t>国产芯片</t>
        </is>
      </c>
      <c r="D32" s="5" t="inlineStr">
        <is>
          <t>high</t>
        </is>
      </c>
      <c r="E32" s="10" t="inlineStr">
        <is>
          <t>昇腾950PR测试顺利，字节跳动预计2026年采购超400亿元，标志国产AI芯片规模化落地</t>
        </is>
      </c>
      <c r="F32" s="4" t="inlineStr">
        <is>
          <t>OFweek</t>
        </is>
      </c>
    </row>
    <row r="33">
      <c r="A33" s="5" t="inlineStr">
        <is>
          <t>2026-06-12</t>
        </is>
      </c>
      <c r="B33" s="10" t="inlineStr">
        <is>
          <t>费城半导体指数连续大涨，芯片股创一年最佳表现</t>
        </is>
      </c>
      <c r="C33" s="4" t="inlineStr">
        <is>
          <t>半导体</t>
        </is>
      </c>
      <c r="D33" s="5" t="inlineStr">
        <is>
          <t>medium</t>
        </is>
      </c>
      <c r="E33" s="10" t="inlineStr">
        <is>
          <t>经历6月初暴跌后全球芯片股强劲反弹，SK海力士市值突破1万亿美元</t>
        </is>
      </c>
      <c r="F33" s="4" t="inlineStr">
        <is>
          <t>TradingView</t>
        </is>
      </c>
    </row>
    <row r="34">
      <c r="A34" s="5" t="inlineStr">
        <is>
          <t>2026-06-15</t>
        </is>
      </c>
      <c r="B34" s="10" t="inlineStr">
        <is>
          <t>韩国投入8000亿韩元加速开发国产在线设备AI半导体</t>
        </is>
      </c>
      <c r="C34" s="4" t="inlineStr">
        <is>
          <t>半导体</t>
        </is>
      </c>
      <c r="D34" s="5" t="inlineStr">
        <is>
          <t>high</t>
        </is>
      </c>
      <c r="E34" s="10" t="inlineStr">
        <is>
          <t>韩国政府计划通过建立需求企业、无厂半导体公司、代工厂协作体系，投入8000亿韩元推动本土AI芯片商业化</t>
        </is>
      </c>
      <c r="F34" s="4" t="inlineStr">
        <is>
          <t>亚洲日报</t>
        </is>
      </c>
    </row>
    <row r="35">
      <c r="A35" s="5" t="inlineStr">
        <is>
          <t>2026-06-15</t>
        </is>
      </c>
      <c r="B35" s="10" t="inlineStr">
        <is>
          <t>国产AI芯片巨头6月15日上会审核</t>
        </is>
      </c>
      <c r="C35" s="4" t="inlineStr">
        <is>
          <t>半导体/IPO</t>
        </is>
      </c>
      <c r="D35" s="5" t="inlineStr">
        <is>
          <t>high</t>
        </is>
      </c>
      <c r="E35" s="10" t="inlineStr">
        <is>
          <t>上海证券交易所上市审核委员会定于6月15日召开审议会议，审核国产AI芯片龙头企业IPO申请</t>
        </is>
      </c>
      <c r="F35" s="4" t="inlineStr">
        <is>
          <t>东方财富</t>
        </is>
      </c>
    </row>
    <row r="36">
      <c r="A36" s="5" t="inlineStr">
        <is>
          <t>2026-06-15</t>
        </is>
      </c>
      <c r="B36" s="10" t="inlineStr">
        <is>
          <t>WSTS预测2026年全球半导体市场增长90%达1.3万亿美元</t>
        </is>
      </c>
      <c r="C36" s="4" t="inlineStr">
        <is>
          <t>半导体</t>
        </is>
      </c>
      <c r="D36" s="5" t="inlineStr">
        <is>
          <t>high</t>
        </is>
      </c>
      <c r="E36" s="10" t="inlineStr">
        <is>
          <t>世界半导体贸易统计组织预测2026年全球半导体市场同比增长约90%，AI算力需求是核心驱动力</t>
        </is>
      </c>
      <c r="F36" s="4" t="inlineStr">
        <is>
          <t>WSTS</t>
        </is>
      </c>
    </row>
    <row r="37">
      <c r="A37" s="5" t="inlineStr">
        <is>
          <t>2026-06-15</t>
        </is>
      </c>
      <c r="B37" s="10" t="inlineStr">
        <is>
          <t>AI拉动芯片需求，半导体ETF涨3.35%</t>
        </is>
      </c>
      <c r="C37" s="4" t="inlineStr">
        <is>
          <t>半导体</t>
        </is>
      </c>
      <c r="D37" s="5" t="inlineStr">
        <is>
          <t>medium</t>
        </is>
      </c>
      <c r="E37" s="10" t="inlineStr">
        <is>
          <t>行业增长预期强劲，芯片ETF（易方达）涨3.35%，产业链各环节景气度提升</t>
        </is>
      </c>
      <c r="F37" s="4" t="inlineStr">
        <is>
          <t>财闻网</t>
        </is>
      </c>
    </row>
    <row r="38">
      <c r="A38" s="5" t="inlineStr">
        <is>
          <t>2026-06-15</t>
        </is>
      </c>
      <c r="B38" s="10" t="inlineStr">
        <is>
          <t>深证成指、创业板指等指数6月15日调整样本股</t>
        </is>
      </c>
      <c r="C38" s="4" t="inlineStr">
        <is>
          <t>股市</t>
        </is>
      </c>
      <c r="D38" s="5" t="inlineStr">
        <is>
          <t>medium</t>
        </is>
      </c>
      <c r="E38" s="10" t="inlineStr">
        <is>
          <t>深圳证券信息有限公司对深证成指、创业板指等指数实施样本股定期调整，反映A股市场结构新变化</t>
        </is>
      </c>
      <c r="F38" s="4" t="inlineStr">
        <is>
          <t>深圳证券信息有限公司</t>
        </is>
      </c>
    </row>
    <row r="39">
      <c r="A39" s="5" t="inlineStr">
        <is>
          <t>2026-06-15</t>
        </is>
      </c>
      <c r="B39" s="10" t="inlineStr">
        <is>
          <t>蜜雪冰城以极致性价比模式进军纽约市场</t>
        </is>
      </c>
      <c r="C39" s="4" t="inlineStr">
        <is>
          <t>消费品牌</t>
        </is>
      </c>
      <c r="D39" s="5" t="inlineStr">
        <is>
          <t>high</t>
        </is>
      </c>
      <c r="E39" s="10" t="inlineStr">
        <is>
          <t>蜜雪冰城将国内低价高质策略复制到纽约，试图用价格杠杆撬动海外市场</t>
        </is>
      </c>
      <c r="F39" s="4" t="inlineStr">
        <is>
          <t>财经客户端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2026-06-15T04:08:02Z</dcterms:created>
  <dcterms:modified xmlns:dcterms="http://purl.org/dc/terms/" xmlns:xsi="http://www.w3.org/2001/XMLSchema-instance" xsi:type="dcterms:W3CDTF">2026-06-15T04:08:02Z</dcterms:modified>
</cp:coreProperties>
</file>