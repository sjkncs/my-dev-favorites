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f3460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center" wrapText="1"/>
    </xf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各分类数量分布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'概览'!B4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'概览'!$A$5:$A$11</f>
            </numRef>
          </cat>
          <val>
            <numRef>
              <f>'概览'!$B$5:$B$11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消费品牌AI五维雷达</a:t>
            </a:r>
          </a:p>
        </rich>
      </tx>
    </title>
    <plotArea>
      <radarChart>
        <radarStyle val="standard"/>
        <ser>
          <idx val="0"/>
          <order val="0"/>
          <tx>
            <strRef>
              <f>'消费品牌AI'!D1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'消费品牌AI'!$E$1:$H$1</f>
            </numRef>
          </val>
        </ser>
        <ser>
          <idx val="1"/>
          <order val="1"/>
          <tx>
            <strRef>
              <f>'消费品牌AI'!D2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'消费品牌AI'!$E$2:$H$2</f>
            </numRef>
          </val>
        </ser>
        <ser>
          <idx val="2"/>
          <order val="2"/>
          <tx>
            <strRef>
              <f>'消费品牌AI'!D3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'消费品牌AI'!$E$3:$H$3</f>
            </numRef>
          </val>
        </ser>
        <ser>
          <idx val="3"/>
          <order val="3"/>
          <tx>
            <strRef>
              <f>'消费品牌AI'!D4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'消费品牌AI'!$E$4:$H$4</f>
            </numRef>
          </val>
        </ser>
        <ser>
          <idx val="4"/>
          <order val="4"/>
          <tx>
            <strRef>
              <f>'消费品牌AI'!D5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'消费品牌AI'!$E$5:$H$5</f>
            </numRef>
          </val>
        </ser>
        <ser>
          <idx val="5"/>
          <order val="5"/>
          <tx>
            <strRef>
              <f>'消费品牌AI'!D6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'消费品牌AI'!$E$6:$H$6</f>
            </numRef>
          </val>
        </ser>
        <ser>
          <idx val="6"/>
          <order val="6"/>
          <tx>
            <strRef>
              <f>'消费品牌AI'!D7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'消费品牌AI'!$E$7:$H$7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AI大模型六维雷达</a:t>
            </a:r>
          </a:p>
        </rich>
      </tx>
    </title>
    <plotArea>
      <radarChart>
        <radarStyle val="standard"/>
        <ser>
          <idx val="0"/>
          <order val="0"/>
          <tx>
            <strRef>
              <f>'AI大模型'!E1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'AI大模型'!$F$1:$I$1</f>
            </numRef>
          </val>
        </ser>
        <ser>
          <idx val="1"/>
          <order val="1"/>
          <tx>
            <strRef>
              <f>'AI大模型'!E2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'AI大模型'!$F$2:$I$2</f>
            </numRef>
          </val>
        </ser>
        <ser>
          <idx val="2"/>
          <order val="2"/>
          <tx>
            <strRef>
              <f>'AI大模型'!E3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'AI大模型'!$F$3:$I$3</f>
            </numRef>
          </val>
        </ser>
        <ser>
          <idx val="3"/>
          <order val="3"/>
          <tx>
            <strRef>
              <f>'AI大模型'!E4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'AI大模型'!$F$4:$I$4</f>
            </numRef>
          </val>
        </ser>
        <ser>
          <idx val="4"/>
          <order val="4"/>
          <tx>
            <strRef>
              <f>'AI大模型'!E5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'AI大模型'!$F$5:$I$5</f>
            </numRef>
          </val>
        </ser>
        <ser>
          <idx val="5"/>
          <order val="5"/>
          <tx>
            <strRef>
              <f>'AI大模型'!E6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'AI大模型'!$F$6:$I$6</f>
            </numRef>
          </val>
        </ser>
        <ser>
          <idx val="6"/>
          <order val="6"/>
          <tx>
            <strRef>
              <f>'AI大模型'!E7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'AI大模型'!$F$7:$I$7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价格对比 ($/M tokens)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'AI大模型'!D1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'AI大模型'!$A$2:$A$7</f>
            </numRef>
          </cat>
          <val>
            <numRef>
              <f>'AI大模型'!$D$2:$D$7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主要指数走势（近10个数据点）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'股市趋势'!$A$20:$A$29</f>
            </numRef>
          </cat>
          <val>
            <numRef>
              <f>'股市趋势'!$B$20:$B$29</f>
            </numRef>
          </val>
        </ser>
        <ser>
          <idx val="1"/>
          <order val="1"/>
          <tx>
            <strRef>
              <f>'股市趋势'!C19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'股市趋势'!$A$20:$A$29</f>
            </numRef>
          </cat>
          <val>
            <numRef>
              <f>'股市趋势'!$C$20:$C$29</f>
            </numRef>
          </val>
        </ser>
        <ser>
          <idx val="2"/>
          <order val="2"/>
          <tx>
            <strRef>
              <f>'股市趋势'!D19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'股市趋势'!$A$20:$A$29</f>
            </numRef>
          </cat>
          <val>
            <numRef>
              <f>'股市趋势'!$D$20:$D$29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点位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半导体关键指标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'半导体指标'!$A$2:$A$8</f>
            </numRef>
          </cat>
          <val>
            <numRef>
              <f>'半导体指标'!$B$2:$B$8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</cols>
  <sheetData>
    <row r="1">
      <c r="A1" s="1" t="inlineStr">
        <is>
          <t>我的开发收藏夹 - 数据概览</t>
        </is>
      </c>
    </row>
    <row r="2">
      <c r="A2" t="inlineStr">
        <is>
          <t>最后更新: 2026-07-14</t>
        </is>
      </c>
    </row>
    <row r="3"/>
    <row r="4">
      <c r="A4" s="2" t="inlineStr">
        <is>
          <t>分类</t>
        </is>
      </c>
      <c r="B4" s="2" t="inlineStr">
        <is>
          <t>数量</t>
        </is>
      </c>
      <c r="C4" s="2" t="inlineStr">
        <is>
          <t>占比</t>
        </is>
      </c>
    </row>
    <row r="5">
      <c r="A5" s="3" t="inlineStr">
        <is>
          <t>效率小技巧</t>
        </is>
      </c>
      <c r="B5" s="3" t="n">
        <v>2</v>
      </c>
      <c r="C5" s="4">
        <f>B5/$B$12</f>
        <v/>
      </c>
    </row>
    <row r="6">
      <c r="A6" s="3" t="inlineStr">
        <is>
          <t>开源仓库</t>
        </is>
      </c>
      <c r="B6" s="3" t="n">
        <v>77</v>
      </c>
      <c r="C6" s="4">
        <f>B6/$B$12</f>
        <v/>
      </c>
    </row>
    <row r="7">
      <c r="A7" s="3" t="inlineStr">
        <is>
          <t>消费品牌AI</t>
        </is>
      </c>
      <c r="B7" s="3" t="n">
        <v>56</v>
      </c>
      <c r="C7" s="4">
        <f>B7/$B$12</f>
        <v/>
      </c>
    </row>
    <row r="8">
      <c r="A8" s="3" t="inlineStr">
        <is>
          <t>AI大模型</t>
        </is>
      </c>
      <c r="B8" s="3" t="n">
        <v>17</v>
      </c>
      <c r="C8" s="4">
        <f>B8/$B$12</f>
        <v/>
      </c>
    </row>
    <row r="9">
      <c r="A9" s="3" t="inlineStr">
        <is>
          <t>科技新闻</t>
        </is>
      </c>
      <c r="B9" s="3" t="n">
        <v>124</v>
      </c>
      <c r="C9" s="4">
        <f>B9/$B$12</f>
        <v/>
      </c>
    </row>
    <row r="10">
      <c r="A10" s="3" t="inlineStr">
        <is>
          <t>股市行情</t>
        </is>
      </c>
      <c r="B10" s="3" t="n">
        <v>135</v>
      </c>
      <c r="C10" s="4">
        <f>B10/$B$12</f>
        <v/>
      </c>
    </row>
    <row r="11">
      <c r="A11" s="3" t="inlineStr">
        <is>
          <t>顶会论文</t>
        </is>
      </c>
      <c r="B11" s="3" t="n">
        <v>138</v>
      </c>
      <c r="C11" s="4">
        <f>B11/$B$12</f>
        <v/>
      </c>
    </row>
    <row r="12">
      <c r="A12" s="5" t="inlineStr">
        <is>
          <t>合计</t>
        </is>
      </c>
      <c r="B12" s="5">
        <f>SUM(B5:B11)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53" customWidth="1" min="3" max="3"/>
    <col width="7" customWidth="1" min="4" max="4"/>
    <col width="7" customWidth="1" min="5" max="5"/>
    <col width="7" customWidth="1" min="6" max="6"/>
    <col width="7" customWidth="1" min="7" max="7"/>
    <col width="6" customWidth="1" min="8" max="8"/>
    <col width="20" customWidth="1" min="9" max="9"/>
    <col width="14" customWidth="1" min="10" max="10"/>
    <col width="13" customWidth="1" min="11" max="11"/>
  </cols>
  <sheetData>
    <row r="1">
      <c r="A1" s="2" t="inlineStr">
        <is>
          <t>品牌</t>
        </is>
      </c>
      <c r="B1" s="2" t="inlineStr">
        <is>
          <t>标题</t>
        </is>
      </c>
      <c r="C1" s="2" t="inlineStr">
        <is>
          <t>涉及技术</t>
        </is>
      </c>
      <c r="D1" s="2" t="inlineStr">
        <is>
          <t>AI深度</t>
        </is>
      </c>
      <c r="E1" s="2" t="inlineStr">
        <is>
          <t>用户体验</t>
        </is>
      </c>
      <c r="F1" s="2" t="inlineStr">
        <is>
          <t>部署规模</t>
        </is>
      </c>
      <c r="G1" s="2" t="inlineStr">
        <is>
          <t>技术壁垒</t>
        </is>
      </c>
      <c r="H1" s="2" t="inlineStr">
        <is>
          <t>商业化</t>
        </is>
      </c>
      <c r="I1" s="2" t="inlineStr">
        <is>
          <t>综合得分</t>
        </is>
      </c>
      <c r="J1" s="2" t="inlineStr">
        <is>
          <t>来源</t>
        </is>
      </c>
      <c r="K1" s="2" t="inlineStr">
        <is>
          <t>日期</t>
        </is>
      </c>
    </row>
    <row r="2">
      <c r="A2" s="6" t="inlineStr">
        <is>
          <t>瑞幸咖啡</t>
        </is>
      </c>
      <c r="B2" s="6" t="inlineStr">
        <is>
          <t>瑞幸携“AI Lucky”语音助手首秀 WAIC 2026</t>
        </is>
      </c>
      <c r="C2" s="6" t="inlineStr">
        <is>
          <t>AI 智能体, 语音助手, AR 互动, 大数据选址, 智能仓配, 智慧门店</t>
        </is>
      </c>
      <c r="D2" s="6" t="n">
        <v>8</v>
      </c>
      <c r="E2" s="6" t="n">
        <v>7</v>
      </c>
      <c r="F2" s="6" t="n">
        <v>9</v>
      </c>
      <c r="G2" s="6" t="n">
        <v>6</v>
      </c>
      <c r="H2" s="6" t="n">
        <v>9</v>
      </c>
      <c r="I2" s="6">
        <f>AVERAGE(D3:H3)</f>
        <v/>
      </c>
      <c r="J2" s="6" t="inlineStr">
        <is>
          <t>驱动之家</t>
        </is>
      </c>
      <c r="K2" s="6" t="inlineStr">
        <is>
          <t>2026-07-14</t>
        </is>
      </c>
    </row>
    <row r="3">
      <c r="A3" s="6" t="inlineStr">
        <is>
          <t>星巴克中国</t>
        </is>
      </c>
      <c r="B3" s="6" t="inlineStr">
        <is>
          <t>星巴克中国发布“数字雇员”AI 助理与千店千面电子菜单</t>
        </is>
      </c>
      <c r="C3" s="6" t="inlineStr">
        <is>
          <t>AI 助理, IoT, 电子菜单板, 个性化推荐, 数据驱动产品创新</t>
        </is>
      </c>
      <c r="D3" s="6" t="n">
        <v>7</v>
      </c>
      <c r="E3" s="6" t="n">
        <v>8</v>
      </c>
      <c r="F3" s="6" t="n">
        <v>9</v>
      </c>
      <c r="G3" s="6" t="n">
        <v>7</v>
      </c>
      <c r="H3" s="6" t="n">
        <v>8</v>
      </c>
      <c r="I3" s="6">
        <f>AVERAGE(D4:H4)</f>
        <v/>
      </c>
      <c r="J3" s="6" t="inlineStr">
        <is>
          <t>星巴克中国官网</t>
        </is>
      </c>
      <c r="K3" s="6" t="inlineStr">
        <is>
          <t>2026-07-14</t>
        </is>
      </c>
    </row>
    <row r="4">
      <c r="A4" s="6" t="inlineStr">
        <is>
          <t>库迪咖啡</t>
        </is>
      </c>
      <c r="B4" s="6" t="inlineStr">
        <is>
          <t>库迪咖啡 AI 贯穿供应链与门店运营</t>
        </is>
      </c>
      <c r="C4" s="6" t="inlineStr">
        <is>
          <t>大数据, 云计算, 机器学习, 图像识别, AGV 机器人</t>
        </is>
      </c>
      <c r="D4" s="6" t="n">
        <v>7</v>
      </c>
      <c r="E4" s="6" t="n">
        <v>6</v>
      </c>
      <c r="F4" s="6" t="n">
        <v>7</v>
      </c>
      <c r="G4" s="6" t="n">
        <v>5</v>
      </c>
      <c r="H4" s="6" t="n">
        <v>7</v>
      </c>
      <c r="I4" s="6">
        <f>AVERAGE(D5:H5)</f>
        <v/>
      </c>
      <c r="J4" s="6" t="inlineStr">
        <is>
          <t>21 世纪经济报道</t>
        </is>
      </c>
      <c r="K4" s="6" t="inlineStr">
        <is>
          <t>2026-07-14</t>
        </is>
      </c>
    </row>
    <row r="5">
      <c r="A5" s="6" t="inlineStr">
        <is>
          <t>茶百道</t>
        </is>
      </c>
      <c r="B5" s="6" t="inlineStr">
        <is>
          <t>茶百道深度融合 DeepSeek R1 与通义千问</t>
        </is>
      </c>
      <c r="C5" s="6" t="inlineStr">
        <is>
          <t>DeepSeek R1, 通义千问, 图像识别, 智能奶茶机, AI 服务台</t>
        </is>
      </c>
      <c r="D5" s="6" t="n">
        <v>8</v>
      </c>
      <c r="E5" s="6" t="n">
        <v>7</v>
      </c>
      <c r="F5" s="6" t="n">
        <v>8</v>
      </c>
      <c r="G5" s="6" t="n">
        <v>6</v>
      </c>
      <c r="H5" s="6" t="n">
        <v>8</v>
      </c>
      <c r="I5" s="6">
        <f>AVERAGE(D6:H6)</f>
        <v/>
      </c>
      <c r="J5" s="6" t="inlineStr">
        <is>
          <t>新华网</t>
        </is>
      </c>
      <c r="K5" s="6" t="inlineStr">
        <is>
          <t>2026-07-14</t>
        </is>
      </c>
    </row>
    <row r="6">
      <c r="A6" s="6" t="inlineStr">
        <is>
          <t>美团</t>
        </is>
      </c>
      <c r="B6" s="6" t="inlineStr">
        <is>
          <t>美团自研 LongCat 大模型与食安治理大模型“星眸”</t>
        </is>
      </c>
      <c r="C6" s="6" t="inlineStr">
        <is>
          <t>LongCat 大模型, 具身智能, 无人机/无人车, GPU 算力, AI 视觉巡检, 食安大模型</t>
        </is>
      </c>
      <c r="D6" s="6" t="n">
        <v>9</v>
      </c>
      <c r="E6" s="6" t="n">
        <v>7</v>
      </c>
      <c r="F6" s="6" t="n">
        <v>10</v>
      </c>
      <c r="G6" s="6" t="n">
        <v>8</v>
      </c>
      <c r="H6" s="6" t="n">
        <v>9</v>
      </c>
      <c r="I6" s="6">
        <f>AVERAGE(D7:H7)</f>
        <v/>
      </c>
      <c r="J6" s="6" t="inlineStr">
        <is>
          <t>界面新闻 / 美团新闻</t>
        </is>
      </c>
      <c r="K6" s="6" t="inlineStr">
        <is>
          <t>2026-07-14</t>
        </is>
      </c>
    </row>
    <row r="7">
      <c r="A7" s="6" t="inlineStr">
        <is>
          <t>饿了么</t>
        </is>
      </c>
      <c r="B7" s="6" t="inlineStr">
        <is>
          <t>饿了么上线外卖行业首个大模型 AI 助手“小饿”</t>
        </is>
      </c>
      <c r="C7" s="6" t="inlineStr">
        <is>
          <t>大模型, NLP, 实时数据, 语音交互</t>
        </is>
      </c>
      <c r="D7" s="6" t="n">
        <v>7</v>
      </c>
      <c r="E7" s="6" t="n">
        <v>7</v>
      </c>
      <c r="F7" s="6" t="n">
        <v>8</v>
      </c>
      <c r="G7" s="6" t="n">
        <v>6</v>
      </c>
      <c r="H7" s="6" t="n">
        <v>7</v>
      </c>
      <c r="I7" s="6">
        <f>AVERAGE(D8:H8)</f>
        <v/>
      </c>
      <c r="J7" s="6" t="inlineStr">
        <is>
          <t>央广网</t>
        </is>
      </c>
      <c r="K7" s="6" t="inlineStr">
        <is>
          <t>2026-07-14</t>
        </is>
      </c>
    </row>
    <row r="8">
      <c r="A8" s="6" t="inlineStr">
        <is>
          <t>蜜雪冰城</t>
        </is>
      </c>
      <c r="B8" s="6" t="inlineStr">
        <is>
          <t>蜜雪冰城成立 AI 公司“雪王爱智慧科技”</t>
        </is>
      </c>
      <c r="C8" s="6" t="inlineStr">
        <is>
          <t>AI 算法, 智能机器人, 图像识别, 智慧供应链</t>
        </is>
      </c>
      <c r="D8" s="6" t="n">
        <v>6</v>
      </c>
      <c r="E8" s="6" t="n">
        <v>6</v>
      </c>
      <c r="F8" s="6" t="n">
        <v>10</v>
      </c>
      <c r="G8" s="6" t="n">
        <v>5</v>
      </c>
      <c r="H8" s="6" t="n">
        <v>9</v>
      </c>
      <c r="I8" s="6">
        <f>AVERAGE(D9:H9)</f>
        <v/>
      </c>
      <c r="J8" s="6" t="inlineStr">
        <is>
          <t>财联社</t>
        </is>
      </c>
      <c r="K8" s="6" t="inlineStr">
        <is>
          <t>2026-07-14</t>
        </is>
      </c>
    </row>
    <row r="9">
      <c r="A9" s="6" t="inlineStr">
        <is>
          <t>阿里千问 App</t>
        </is>
      </c>
      <c r="B9" s="6" t="inlineStr">
        <is>
          <t>千问 App 接入 Qwen3.7-Max</t>
        </is>
      </c>
      <c r="C9" s="6" t="inlineStr">
        <is>
          <t>Qwen3.7-Max, MCP, 多智能体协作</t>
        </is>
      </c>
      <c r="D9" s="6" t="n">
        <v>9</v>
      </c>
      <c r="E9" s="6" t="n">
        <v>7</v>
      </c>
      <c r="F9" s="6" t="n">
        <v>8</v>
      </c>
      <c r="G9" s="6" t="n">
        <v>8</v>
      </c>
      <c r="H9" s="6" t="n">
        <v>7</v>
      </c>
      <c r="I9" s="6">
        <f>AVERAGE(D10:H10)</f>
        <v/>
      </c>
      <c r="J9" s="6" t="inlineStr">
        <is>
          <t>IT之家</t>
        </is>
      </c>
      <c r="K9" s="6" t="inlineStr">
        <is>
          <t>2026-07-14</t>
        </is>
      </c>
    </row>
  </sheetData>
  <conditionalFormatting sqref="D2:H9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20" customWidth="1" min="4" max="4"/>
    <col width="7" customWidth="1" min="5" max="5"/>
    <col width="7" customWidth="1" min="6" max="6"/>
    <col width="6" customWidth="1" min="7" max="7"/>
    <col width="7" customWidth="1" min="8" max="8"/>
    <col width="6" customWidth="1" min="9" max="9"/>
    <col width="18" customWidth="1" min="10" max="10"/>
    <col width="9" customWidth="1" min="11" max="11"/>
  </cols>
  <sheetData>
    <row r="1">
      <c r="A1" s="2" t="inlineStr">
        <is>
          <t>模型</t>
        </is>
      </c>
      <c r="B1" s="2" t="inlineStr">
        <is>
          <t>机构</t>
        </is>
      </c>
      <c r="C1" s="2" t="inlineStr">
        <is>
          <t>上下文长度</t>
        </is>
      </c>
      <c r="D1" s="2" t="inlineStr">
        <is>
          <t>API价格($/M tokens)</t>
        </is>
      </c>
      <c r="E1" s="2" t="inlineStr">
        <is>
          <t>推理能力</t>
        </is>
      </c>
      <c r="F1" s="2" t="inlineStr">
        <is>
          <t>代码能力</t>
        </is>
      </c>
      <c r="G1" s="2" t="inlineStr">
        <is>
          <t>多语言</t>
        </is>
      </c>
      <c r="H1" s="2" t="inlineStr">
        <is>
          <t>工具使用</t>
        </is>
      </c>
      <c r="I1" s="2" t="inlineStr">
        <is>
          <t>长文本</t>
        </is>
      </c>
      <c r="J1" s="2" t="inlineStr">
        <is>
          <t>综合得分</t>
        </is>
      </c>
      <c r="K1" s="2" t="inlineStr">
        <is>
          <t>来源</t>
        </is>
      </c>
    </row>
    <row r="2">
      <c r="A2" s="3" t="inlineStr">
        <is>
          <t>GPT-5</t>
        </is>
      </c>
      <c r="B2" s="3" t="inlineStr">
        <is>
          <t>OpenAI</t>
        </is>
      </c>
      <c r="C2" s="3" t="inlineStr">
        <is>
          <t>2M</t>
        </is>
      </c>
      <c r="D2" s="3" t="n">
        <v>15</v>
      </c>
      <c r="E2" s="3" t="n">
        <v>10</v>
      </c>
      <c r="F2" s="3" t="n">
        <v>10</v>
      </c>
      <c r="G2" s="3" t="n">
        <v>9</v>
      </c>
      <c r="H2" s="3" t="n">
        <v>10</v>
      </c>
      <c r="I2" s="3" t="n">
        <v>10</v>
      </c>
      <c r="J2" s="3">
        <f>AVERAGE(E2:I2)</f>
        <v/>
      </c>
      <c r="K2" s="3" t="inlineStr">
        <is>
          <t>官方技术报告</t>
        </is>
      </c>
    </row>
    <row r="3">
      <c r="A3" s="3" t="inlineStr">
        <is>
          <t>Claude 4 Opus</t>
        </is>
      </c>
      <c r="B3" s="3" t="inlineStr">
        <is>
          <t>Anthropic</t>
        </is>
      </c>
      <c r="C3" s="3" t="inlineStr">
        <is>
          <t>500K</t>
        </is>
      </c>
      <c r="D3" s="3" t="n">
        <v>18</v>
      </c>
      <c r="E3" s="3" t="n">
        <v>10</v>
      </c>
      <c r="F3" s="3" t="n">
        <v>9</v>
      </c>
      <c r="G3" s="3" t="n">
        <v>9</v>
      </c>
      <c r="H3" s="3" t="n">
        <v>9</v>
      </c>
      <c r="I3" s="3" t="n">
        <v>9</v>
      </c>
      <c r="J3" s="3">
        <f>AVERAGE(E3:I3)</f>
        <v/>
      </c>
      <c r="K3" s="3" t="inlineStr">
        <is>
          <t>官方技术报告</t>
        </is>
      </c>
    </row>
    <row r="4">
      <c r="A4" s="3" t="inlineStr">
        <is>
          <t>Gemini 2.5 Pro</t>
        </is>
      </c>
      <c r="B4" s="3" t="inlineStr">
        <is>
          <t>Google</t>
        </is>
      </c>
      <c r="C4" s="3" t="inlineStr">
        <is>
          <t>1M</t>
        </is>
      </c>
      <c r="D4" s="3" t="n">
        <v>8</v>
      </c>
      <c r="E4" s="3" t="n">
        <v>9</v>
      </c>
      <c r="F4" s="3" t="n">
        <v>9</v>
      </c>
      <c r="G4" s="3" t="n">
        <v>9</v>
      </c>
      <c r="H4" s="3" t="n">
        <v>9</v>
      </c>
      <c r="I4" s="3" t="n">
        <v>10</v>
      </c>
      <c r="J4" s="3">
        <f>AVERAGE(E4:I4)</f>
        <v/>
      </c>
      <c r="K4" s="3" t="inlineStr">
        <is>
          <t>官方技术报告</t>
        </is>
      </c>
    </row>
    <row r="5">
      <c r="A5" s="3" t="inlineStr">
        <is>
          <t>Llama 4</t>
        </is>
      </c>
      <c r="B5" s="3" t="inlineStr">
        <is>
          <t>Meta</t>
        </is>
      </c>
      <c r="C5" s="3" t="inlineStr">
        <is>
          <t>256K</t>
        </is>
      </c>
      <c r="D5" s="3" t="n">
        <v>0.5</v>
      </c>
      <c r="E5" s="3" t="n">
        <v>8</v>
      </c>
      <c r="F5" s="3" t="n">
        <v>8</v>
      </c>
      <c r="G5" s="3" t="n">
        <v>8</v>
      </c>
      <c r="H5" s="3" t="n">
        <v>8</v>
      </c>
      <c r="I5" s="3" t="n">
        <v>8</v>
      </c>
      <c r="J5" s="3">
        <f>AVERAGE(E5:I5)</f>
        <v/>
      </c>
      <c r="K5" s="3" t="inlineStr">
        <is>
          <t>官方技术报告</t>
        </is>
      </c>
    </row>
    <row r="6">
      <c r="A6" s="3" t="inlineStr">
        <is>
          <t>Qwen3-235B</t>
        </is>
      </c>
      <c r="B6" s="3" t="inlineStr">
        <is>
          <t>Alibaba</t>
        </is>
      </c>
      <c r="C6" s="3" t="inlineStr">
        <is>
          <t>128K</t>
        </is>
      </c>
      <c r="D6" s="3" t="n">
        <v>2</v>
      </c>
      <c r="E6" s="3" t="n">
        <v>9</v>
      </c>
      <c r="F6" s="3" t="n">
        <v>9</v>
      </c>
      <c r="G6" s="3" t="n">
        <v>9</v>
      </c>
      <c r="H6" s="3" t="n">
        <v>9</v>
      </c>
      <c r="I6" s="3" t="n">
        <v>8</v>
      </c>
      <c r="J6" s="3">
        <f>AVERAGE(E6:I6)</f>
        <v/>
      </c>
      <c r="K6" s="3" t="inlineStr">
        <is>
          <t>官方技术报告</t>
        </is>
      </c>
    </row>
    <row r="7">
      <c r="A7" s="3" t="inlineStr">
        <is>
          <t>DeepSeek V4</t>
        </is>
      </c>
      <c r="B7" s="3" t="inlineStr">
        <is>
          <t>DeepSeek</t>
        </is>
      </c>
      <c r="C7" s="3" t="inlineStr">
        <is>
          <t>128K</t>
        </is>
      </c>
      <c r="D7" s="3" t="n">
        <v>1</v>
      </c>
      <c r="E7" s="3" t="n">
        <v>9</v>
      </c>
      <c r="F7" s="3" t="n">
        <v>9</v>
      </c>
      <c r="G7" s="3" t="n">
        <v>8</v>
      </c>
      <c r="H7" s="3" t="n">
        <v>8</v>
      </c>
      <c r="I7" s="3" t="n">
        <v>8</v>
      </c>
      <c r="J7" s="3">
        <f>AVERAGE(E7:I7)</f>
        <v/>
      </c>
      <c r="K7" s="3" t="inlineStr">
        <is>
          <t>官方技术报告</t>
        </is>
      </c>
    </row>
  </sheetData>
  <conditionalFormatting sqref="E2:I7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3" customWidth="1" min="4" max="4"/>
    <col width="13" customWidth="1" min="5" max="5"/>
  </cols>
  <sheetData>
    <row r="1">
      <c r="A1" s="2" t="inlineStr">
        <is>
          <t>市场</t>
        </is>
      </c>
      <c r="B1" s="2" t="inlineStr">
        <is>
          <t>指数</t>
        </is>
      </c>
      <c r="C1" s="2" t="inlineStr">
        <is>
          <t>最新收盘</t>
        </is>
      </c>
      <c r="D1" s="2" t="inlineStr">
        <is>
          <t>涨跌幅</t>
        </is>
      </c>
      <c r="E1" s="2" t="inlineStr">
        <is>
          <t>日期</t>
        </is>
      </c>
    </row>
    <row r="2">
      <c r="A2" s="3" t="inlineStr">
        <is>
          <t>A股</t>
        </is>
      </c>
      <c r="B2" s="3" t="inlineStr">
        <is>
          <t>上证指数</t>
        </is>
      </c>
      <c r="C2" s="3" t="n"/>
      <c r="D2" s="7" t="n">
        <v>0</v>
      </c>
      <c r="E2" s="3" t="inlineStr">
        <is>
          <t>2026-04-30</t>
        </is>
      </c>
    </row>
    <row r="3">
      <c r="A3" s="3" t="inlineStr">
        <is>
          <t>美股</t>
        </is>
      </c>
      <c r="B3" s="3" t="inlineStr">
        <is>
          <t>纳斯达克综合指数</t>
        </is>
      </c>
      <c r="C3" s="3" t="n"/>
      <c r="D3" s="7" t="n">
        <v>0</v>
      </c>
      <c r="E3" s="3" t="inlineStr">
        <is>
          <t>2026-07-07</t>
        </is>
      </c>
    </row>
    <row r="4">
      <c r="A4" s="3" t="inlineStr">
        <is>
          <t>港股</t>
        </is>
      </c>
      <c r="B4" s="3" t="inlineStr">
        <is>
          <t>恒生科技指数</t>
        </is>
      </c>
      <c r="C4" s="3" t="n">
        <v>4797.27</v>
      </c>
      <c r="D4" s="7" t="n">
        <v>0.016</v>
      </c>
      <c r="E4" s="3" t="inlineStr">
        <is>
          <t>2026-07-13</t>
        </is>
      </c>
    </row>
    <row r="5">
      <c r="A5" s="3" t="inlineStr">
        <is>
          <t>A股</t>
        </is>
      </c>
      <c r="B5" s="3" t="inlineStr">
        <is>
          <t>上证综指</t>
        </is>
      </c>
      <c r="C5" s="3" t="n">
        <v>3913.79</v>
      </c>
      <c r="D5" s="7" t="n">
        <v>-0.0206</v>
      </c>
      <c r="E5" s="3" t="inlineStr">
        <is>
          <t>2026-07-13</t>
        </is>
      </c>
    </row>
    <row r="6">
      <c r="A6" s="3" t="inlineStr">
        <is>
          <t>A股</t>
        </is>
      </c>
      <c r="B6" s="3" t="inlineStr">
        <is>
          <t>深证成指</t>
        </is>
      </c>
      <c r="C6" s="3" t="n">
        <v>14522.85</v>
      </c>
      <c r="D6" s="7" t="n">
        <v>-0.0348</v>
      </c>
      <c r="E6" s="3" t="inlineStr">
        <is>
          <t>2026-07-13</t>
        </is>
      </c>
    </row>
    <row r="7">
      <c r="A7" s="3" t="inlineStr">
        <is>
          <t>A股</t>
        </is>
      </c>
      <c r="B7" s="3" t="inlineStr">
        <is>
          <t>创业板指</t>
        </is>
      </c>
      <c r="C7" s="3" t="n">
        <v>3723.52</v>
      </c>
      <c r="D7" s="7" t="n">
        <v>-0.031</v>
      </c>
      <c r="E7" s="3" t="inlineStr">
        <is>
          <t>2026-07-13</t>
        </is>
      </c>
    </row>
    <row r="8">
      <c r="A8" s="3" t="inlineStr">
        <is>
          <t>美股</t>
        </is>
      </c>
      <c r="B8" s="3" t="inlineStr">
        <is>
          <t>标普500指数</t>
        </is>
      </c>
      <c r="C8" s="3" t="n"/>
      <c r="D8" s="7" t="n">
        <v>0</v>
      </c>
      <c r="E8" s="3" t="inlineStr">
        <is>
          <t>2026-07-07</t>
        </is>
      </c>
    </row>
    <row r="9">
      <c r="A9" s="3" t="inlineStr">
        <is>
          <t>美股</t>
        </is>
      </c>
      <c r="B9" s="3" t="inlineStr">
        <is>
          <t>道琼斯工业平均指数</t>
        </is>
      </c>
      <c r="C9" s="3" t="n"/>
      <c r="D9" s="7" t="n">
        <v>0</v>
      </c>
      <c r="E9" s="3" t="inlineStr">
        <is>
          <t>2026-07-06</t>
        </is>
      </c>
    </row>
    <row r="10">
      <c r="A10" s="3" t="inlineStr">
        <is>
          <t>港股</t>
        </is>
      </c>
      <c r="B10" s="3" t="inlineStr">
        <is>
          <t>恒生指数</t>
        </is>
      </c>
      <c r="C10" s="3" t="n">
        <v>24434.42</v>
      </c>
      <c r="D10" s="7" t="n">
        <v>0.0107</v>
      </c>
      <c r="E10" s="3" t="inlineStr">
        <is>
          <t>2026-07-13</t>
        </is>
      </c>
    </row>
    <row r="11">
      <c r="A11" s="3" t="inlineStr">
        <is>
          <t>A股</t>
        </is>
      </c>
      <c r="B11" s="3" t="inlineStr">
        <is>
          <t>科创50</t>
        </is>
      </c>
      <c r="C11" s="3" t="n">
        <v>1994.32</v>
      </c>
      <c r="D11" s="7" t="n">
        <v>-0.0342</v>
      </c>
      <c r="E11" s="3" t="inlineStr">
        <is>
          <t>2026-07-13</t>
        </is>
      </c>
    </row>
    <row r="12">
      <c r="A12" s="3" t="inlineStr">
        <is>
          <t>美股</t>
        </is>
      </c>
      <c r="B12" s="3" t="inlineStr">
        <is>
          <t>标准普尔500指数</t>
        </is>
      </c>
      <c r="C12" s="3" t="n"/>
      <c r="D12" s="7" t="n">
        <v>0</v>
      </c>
      <c r="E12" s="3" t="inlineStr">
        <is>
          <t>2026-07-06</t>
        </is>
      </c>
    </row>
    <row r="13">
      <c r="A13" s="3" t="inlineStr">
        <is>
          <t>A股</t>
        </is>
      </c>
      <c r="B13" s="3" t="inlineStr">
        <is>
          <t>科创综指</t>
        </is>
      </c>
      <c r="C13" s="3" t="n"/>
      <c r="D13" s="7" t="n">
        <v>0</v>
      </c>
      <c r="E13" s="3" t="inlineStr">
        <is>
          <t>2026-06-30</t>
        </is>
      </c>
    </row>
    <row r="14">
      <c r="A14" s="3" t="inlineStr">
        <is>
          <t>美股</t>
        </is>
      </c>
      <c r="B14" s="3" t="inlineStr">
        <is>
          <t>道琼斯工业指数</t>
        </is>
      </c>
      <c r="C14" s="3" t="n"/>
      <c r="D14" s="7" t="n">
        <v>0</v>
      </c>
      <c r="E14" s="3" t="inlineStr">
        <is>
          <t>2026-07-07</t>
        </is>
      </c>
    </row>
    <row r="15">
      <c r="A15" s="3" t="inlineStr">
        <is>
          <t>美股</t>
        </is>
      </c>
      <c r="B15" s="3" t="inlineStr">
        <is>
          <t>道琼斯</t>
        </is>
      </c>
      <c r="C15" s="3" t="n">
        <v>52498.64</v>
      </c>
      <c r="D15" s="7" t="n">
        <v>-0.0026</v>
      </c>
      <c r="E15" s="3" t="inlineStr">
        <is>
          <t>2026-07-13</t>
        </is>
      </c>
    </row>
    <row r="16">
      <c r="A16" s="3" t="inlineStr">
        <is>
          <t>美股</t>
        </is>
      </c>
      <c r="B16" s="3" t="inlineStr">
        <is>
          <t>标普500</t>
        </is>
      </c>
      <c r="C16" s="3" t="n">
        <v>7515.34</v>
      </c>
      <c r="D16" s="7" t="n">
        <v>-0.007900000000000001</v>
      </c>
      <c r="E16" s="3" t="inlineStr">
        <is>
          <t>2026-07-13</t>
        </is>
      </c>
    </row>
    <row r="17">
      <c r="A17" s="3" t="inlineStr">
        <is>
          <t>美股</t>
        </is>
      </c>
      <c r="B17" s="3" t="inlineStr">
        <is>
          <t>纳斯达克</t>
        </is>
      </c>
      <c r="C17" s="3" t="n">
        <v>25873.18</v>
      </c>
      <c r="D17" s="7" t="n">
        <v>-0.0155</v>
      </c>
      <c r="E17" s="3" t="inlineStr">
        <is>
          <t>2026-07-13</t>
        </is>
      </c>
    </row>
    <row r="18"/>
    <row r="19">
      <c r="A19" s="2" t="inlineStr">
        <is>
          <t>日期</t>
        </is>
      </c>
      <c r="B19" s="2" t="inlineStr">
        <is>
          <t>上证</t>
        </is>
      </c>
      <c r="C19" s="2" t="inlineStr">
        <is>
          <t>纳斯达克</t>
        </is>
      </c>
      <c r="D19" s="2" t="inlineStr">
        <is>
          <t>恒生科技</t>
        </is>
      </c>
    </row>
    <row r="20">
      <c r="A20" s="3" t="inlineStr">
        <is>
          <t>2026-06-24</t>
        </is>
      </c>
      <c r="B20" s="3" t="n"/>
      <c r="C20" s="3" t="n"/>
      <c r="D20" s="3" t="n"/>
    </row>
    <row r="21">
      <c r="A21" s="3" t="inlineStr">
        <is>
          <t>2026-06-25</t>
        </is>
      </c>
      <c r="B21" s="3" t="n"/>
      <c r="C21" s="3" t="n"/>
      <c r="D21" s="3" t="n"/>
    </row>
    <row r="22">
      <c r="A22" s="3" t="inlineStr">
        <is>
          <t>2026-06-26</t>
        </is>
      </c>
      <c r="B22" s="3" t="n"/>
      <c r="C22" s="3" t="n"/>
      <c r="D22" s="3" t="n"/>
    </row>
    <row r="23">
      <c r="A23" s="3" t="inlineStr">
        <is>
          <t>2026-06-27</t>
        </is>
      </c>
      <c r="B23" s="3" t="n"/>
      <c r="C23" s="3" t="n"/>
      <c r="D23" s="3" t="n"/>
    </row>
    <row r="24">
      <c r="A24" s="3" t="inlineStr">
        <is>
          <t>2026-06-29</t>
        </is>
      </c>
      <c r="B24" s="3" t="n"/>
      <c r="C24" s="3" t="n"/>
      <c r="D24" s="3" t="n"/>
    </row>
    <row r="25">
      <c r="A25" s="3" t="inlineStr">
        <is>
          <t>2026-06-30</t>
        </is>
      </c>
      <c r="B25" s="3" t="n"/>
      <c r="C25" s="3" t="n"/>
      <c r="D25" s="3" t="n"/>
    </row>
    <row r="26">
      <c r="A26" s="3" t="inlineStr">
        <is>
          <t>2026-07-01</t>
        </is>
      </c>
      <c r="B26" s="3" t="n"/>
      <c r="C26" s="3" t="n"/>
      <c r="D26" s="3" t="n"/>
    </row>
    <row r="27">
      <c r="A27" s="3" t="inlineStr">
        <is>
          <t>2026-07-06</t>
        </is>
      </c>
      <c r="B27" s="3" t="n"/>
      <c r="C27" s="3" t="n"/>
      <c r="D27" s="3" t="n"/>
    </row>
    <row r="28">
      <c r="A28" s="3" t="inlineStr">
        <is>
          <t>2026-07-07</t>
        </is>
      </c>
      <c r="B28" s="3" t="n"/>
      <c r="C28" s="3" t="n"/>
      <c r="D28" s="3" t="n"/>
    </row>
    <row r="29">
      <c r="A29" s="3" t="inlineStr">
        <is>
          <t>2026-07-13</t>
        </is>
      </c>
      <c r="B29" s="3" t="n">
        <v>3913.79</v>
      </c>
      <c r="C29" s="3" t="n">
        <v>25873.18</v>
      </c>
      <c r="D29" s="3" t="n">
        <v>4797.27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5" customWidth="1" min="4" max="4"/>
  </cols>
  <sheetData>
    <row r="1">
      <c r="A1" s="2" t="inlineStr">
        <is>
          <t>指标</t>
        </is>
      </c>
      <c r="B1" s="2" t="inlineStr">
        <is>
          <t>数值</t>
        </is>
      </c>
      <c r="C1" s="2" t="inlineStr">
        <is>
          <t>单位</t>
        </is>
      </c>
      <c r="D1" s="2" t="inlineStr">
        <is>
          <t>趋势</t>
        </is>
      </c>
    </row>
    <row r="2">
      <c r="A2" s="3" t="inlineStr">
        <is>
          <t>2026年中国半导体市场规模预测</t>
        </is>
      </c>
      <c r="B2" s="3" t="n">
        <v>8100</v>
      </c>
      <c r="C2" s="3" t="inlineStr">
        <is>
          <t>亿美元</t>
        </is>
      </c>
      <c r="D2" s="3" t="inlineStr">
        <is>
          <t>↑</t>
        </is>
      </c>
    </row>
    <row r="3">
      <c r="A3" s="3" t="inlineStr">
        <is>
          <t>Meta 2026年AI基础设施开支上限</t>
        </is>
      </c>
      <c r="B3" s="3" t="n">
        <v>1450</v>
      </c>
      <c r="C3" s="3" t="inlineStr">
        <is>
          <t>亿美元</t>
        </is>
      </c>
      <c r="D3" s="3" t="inlineStr">
        <is>
          <t>↑</t>
        </is>
      </c>
    </row>
    <row r="4">
      <c r="A4" s="3" t="inlineStr">
        <is>
          <t>SK海力士ADR募资额</t>
        </is>
      </c>
      <c r="B4" s="3" t="n">
        <v>280.7</v>
      </c>
      <c r="C4" s="3" t="inlineStr">
        <is>
          <t>亿美元</t>
        </is>
      </c>
      <c r="D4" s="3" t="inlineStr">
        <is>
          <t>↑</t>
        </is>
      </c>
    </row>
    <row r="5">
      <c r="A5" s="3" t="inlineStr">
        <is>
          <t>中国5月芯片出口额同比</t>
        </is>
      </c>
      <c r="B5" s="3" t="n">
        <v>110.9</v>
      </c>
      <c r="C5" s="3" t="inlineStr">
        <is>
          <t>%</t>
        </is>
      </c>
      <c r="D5" s="3" t="inlineStr">
        <is>
          <t>↑</t>
        </is>
      </c>
    </row>
    <row r="6">
      <c r="A6" s="3" t="inlineStr">
        <is>
          <t>7月初半导体板块市值蒸发</t>
        </is>
      </c>
      <c r="B6" s="3" t="n">
        <v>1.3</v>
      </c>
      <c r="C6" s="3" t="inlineStr">
        <is>
          <t>万亿美元</t>
        </is>
      </c>
      <c r="D6" s="3" t="inlineStr">
        <is>
          <t>↓</t>
        </is>
      </c>
    </row>
    <row r="7">
      <c r="A7" s="3" t="inlineStr">
        <is>
          <t>英特尔7月初股价跌幅</t>
        </is>
      </c>
      <c r="B7" s="3" t="n">
        <v>21</v>
      </c>
      <c r="C7" s="3" t="inlineStr">
        <is>
          <t>%</t>
        </is>
      </c>
      <c r="D7" s="3" t="inlineStr">
        <is>
          <t>↓</t>
        </is>
      </c>
    </row>
    <row r="8">
      <c r="A8" s="3" t="inlineStr">
        <is>
          <t>HBM3E/HBM4市场份额（SK海力士）</t>
        </is>
      </c>
      <c r="B8" s="3" t="n">
        <v>75</v>
      </c>
      <c r="C8" s="3" t="inlineStr">
        <is>
          <t>%</t>
        </is>
      </c>
      <c r="D8" s="3" t="inlineStr">
        <is>
          <t>→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4" customWidth="1" min="3" max="3"/>
    <col width="13" customWidth="1" min="4" max="4"/>
    <col width="8" customWidth="1" min="5" max="5"/>
    <col width="13" customWidth="1" min="6" max="6"/>
  </cols>
  <sheetData>
    <row r="1">
      <c r="A1" s="2" t="inlineStr">
        <is>
          <t>标题</t>
        </is>
      </c>
      <c r="B1" s="2" t="inlineStr">
        <is>
          <t>机构</t>
        </is>
      </c>
      <c r="C1" s="2" t="inlineStr">
        <is>
          <t>领域</t>
        </is>
      </c>
      <c r="D1" s="2" t="inlineStr">
        <is>
          <t>arXiv ID</t>
        </is>
      </c>
      <c r="E1" s="2" t="inlineStr">
        <is>
          <t>影响力评分</t>
        </is>
      </c>
      <c r="F1" s="2" t="inlineStr">
        <is>
          <t>日期</t>
        </is>
      </c>
    </row>
    <row r="2">
      <c r="A2" s="6" t="inlineStr">
        <is>
          <t>Statistically Undetectable Backdoors in Deep Neural Networks</t>
        </is>
      </c>
      <c r="B2" s="6" t="inlineStr">
        <is>
          <t>University of Ottawa / Bocconi University / MIT</t>
        </is>
      </c>
      <c r="C2" s="6" t="inlineStr">
        <is>
          <t>ML/Security</t>
        </is>
      </c>
      <c r="D2" s="6" t="inlineStr">
        <is>
          <t>2607.09532</t>
        </is>
      </c>
      <c r="E2" s="6" t="n">
        <v>8</v>
      </c>
      <c r="F2" s="6" t="inlineStr">
        <is>
          <t>2026-07-14</t>
        </is>
      </c>
    </row>
    <row r="3">
      <c r="A3" s="6" t="inlineStr">
        <is>
          <t>Learning More from Less: Reinforcement Learning from Hindsight</t>
        </is>
      </c>
      <c r="B3" s="6" t="inlineStr">
        <is>
          <t>MIT / Stanford / UC San Diego</t>
        </is>
      </c>
      <c r="C3" s="6" t="inlineStr">
        <is>
          <t>RL/Robotics</t>
        </is>
      </c>
      <c r="D3" s="6" t="inlineStr">
        <is>
          <t>2607.09042</t>
        </is>
      </c>
      <c r="E3" s="6" t="n">
        <v>7</v>
      </c>
      <c r="F3" s="6" t="inlineStr">
        <is>
          <t>2026-07-14</t>
        </is>
      </c>
    </row>
    <row r="4">
      <c r="A4" s="6" t="inlineStr">
        <is>
          <t>Forget Narrowly, Retain Broadly: Unlearning as an Asymmetric Generalization Problem</t>
        </is>
      </c>
      <c r="B4" s="6" t="inlineStr">
        <is>
          <t>Tübingen AI Center, University of Tübingen</t>
        </is>
      </c>
      <c r="C4" s="6" t="inlineStr">
        <is>
          <t>ML/Unlearning</t>
        </is>
      </c>
      <c r="D4" s="6" t="inlineStr">
        <is>
          <t>2607.09236</t>
        </is>
      </c>
      <c r="E4" s="6" t="n">
        <v>7</v>
      </c>
      <c r="F4" s="6" t="inlineStr">
        <is>
          <t>2026-07-14</t>
        </is>
      </c>
    </row>
    <row r="5">
      <c r="A5" s="6" t="inlineStr">
        <is>
          <t>Scalable Visual Pretraining for Language Intelligence</t>
        </is>
      </c>
      <c r="B5" s="6" t="inlineStr">
        <is>
          <t>Shanghai AI Laboratory / USTC / ZJU / SJTU</t>
        </is>
      </c>
      <c r="C5" s="6" t="inlineStr">
        <is>
          <t>ML/Vision-Language</t>
        </is>
      </c>
      <c r="D5" s="6" t="inlineStr">
        <is>
          <t>2607.09657</t>
        </is>
      </c>
      <c r="E5" s="6" t="n">
        <v>7</v>
      </c>
      <c r="F5" s="6" t="inlineStr">
        <is>
          <t>2026-07-14</t>
        </is>
      </c>
    </row>
    <row r="6">
      <c r="A6" s="6" t="inlineStr">
        <is>
          <t>OpenLongTail: Generative Scaling of Long-Tail Driving Data</t>
        </is>
      </c>
      <c r="B6" s="6" t="inlineStr">
        <is>
          <t>Texas A&amp;M / NVIDIA / UW-Madison / UT Austin / Yale / Adobe / Meta / Delaware / Stanford</t>
        </is>
      </c>
      <c r="C6" s="6" t="inlineStr">
        <is>
          <t>CV/Autonomous Driving</t>
        </is>
      </c>
      <c r="D6" s="6" t="inlineStr">
        <is>
          <t>2607.09655</t>
        </is>
      </c>
      <c r="E6" s="6" t="n">
        <v>7</v>
      </c>
      <c r="F6" s="6" t="inlineStr">
        <is>
          <t>2026-07-14</t>
        </is>
      </c>
    </row>
    <row r="7">
      <c r="A7" s="6" t="inlineStr">
        <is>
          <t>Hydra++: Real-Time Hierarchical 3D Scene Graph Construction With Object-Level Shape Estimation</t>
        </is>
      </c>
      <c r="B7" s="6" t="inlineStr">
        <is>
          <t>MIT / NUS</t>
        </is>
      </c>
      <c r="C7" s="6" t="inlineStr">
        <is>
          <t>CV/3D</t>
        </is>
      </c>
      <c r="D7" s="6" t="inlineStr">
        <is>
          <t>2607.09455</t>
        </is>
      </c>
      <c r="E7" s="6" t="n">
        <v>7</v>
      </c>
      <c r="F7" s="6" t="inlineStr">
        <is>
          <t>2026-07-14</t>
        </is>
      </c>
    </row>
    <row r="8">
      <c r="A8" s="6" t="inlineStr">
        <is>
          <t>Self-Guided Test-Time Training for Long-Context LLMs</t>
        </is>
      </c>
      <c r="B8" s="6" t="inlineStr">
        <is>
          <t>Meta AI / University of Virginia</t>
        </is>
      </c>
      <c r="C8" s="6" t="inlineStr">
        <is>
          <t>NLP/Long-Context</t>
        </is>
      </c>
      <c r="D8" s="6" t="inlineStr">
        <is>
          <t>2607.09415</t>
        </is>
      </c>
      <c r="E8" s="6" t="n">
        <v>7</v>
      </c>
      <c r="F8" s="6" t="inlineStr">
        <is>
          <t>2026-07-14</t>
        </is>
      </c>
    </row>
    <row r="9">
      <c r="A9" s="6" t="inlineStr">
        <is>
          <t>WILDTRACE: Benchmarking Natural Evidence Trails in Long-Context Reasoning</t>
        </is>
      </c>
      <c r="B9" s="6" t="inlineStr">
        <is>
          <t>HKUST / Qwen Team (Alibaba)</t>
        </is>
      </c>
      <c r="C9" s="6" t="inlineStr">
        <is>
          <t>NLP/Benchmark</t>
        </is>
      </c>
      <c r="D9" s="6" t="inlineStr">
        <is>
          <t>2607.09328</t>
        </is>
      </c>
      <c r="E9" s="6" t="n">
        <v>7</v>
      </c>
      <c r="F9" s="6" t="inlineStr">
        <is>
          <t>2026-07-14</t>
        </is>
      </c>
    </row>
    <row r="10">
      <c r="A10" s="6" t="inlineStr">
        <is>
          <t>Agora: Enhancing LLM Agent Reasoning Via Auction-Based Task Allocation</t>
        </is>
      </c>
      <c r="B10" s="6" t="inlineStr">
        <is>
          <t>University of Birmingham</t>
        </is>
      </c>
      <c r="C10" s="6" t="inlineStr">
        <is>
          <t>AI/Agent</t>
        </is>
      </c>
      <c r="D10" s="6" t="inlineStr">
        <is>
          <t>2607.09600</t>
        </is>
      </c>
      <c r="E10" s="6" t="n">
        <v>7</v>
      </c>
      <c r="F10" s="6" t="inlineStr">
        <is>
          <t>2026-07-14</t>
        </is>
      </c>
    </row>
    <row r="11">
      <c r="A11" s="6" t="inlineStr">
        <is>
          <t>KV-PRM: Efficient Process Reward Modeling via KV-Cache Transfer for Multi-Agent Test-Time Scaling</t>
        </is>
      </c>
      <c r="B11" s="6" t="inlineStr">
        <is>
          <t>UIUC / Imperial College London / CityU HK</t>
        </is>
      </c>
      <c r="C11" s="6" t="inlineStr">
        <is>
          <t>ML/Efficiency</t>
        </is>
      </c>
      <c r="D11" s="6" t="inlineStr">
        <is>
          <t>2607.09153</t>
        </is>
      </c>
      <c r="E11" s="6" t="n">
        <v>8</v>
      </c>
      <c r="F11" s="6" t="inlineStr">
        <is>
          <t>2026-07-14</t>
        </is>
      </c>
    </row>
  </sheetData>
  <conditionalFormatting sqref="E2:E11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9" customWidth="1" min="3" max="3"/>
    <col width="60" customWidth="1" min="4" max="4"/>
    <col width="60" customWidth="1" min="5" max="5"/>
    <col width="13" customWidth="1" min="6" max="6"/>
  </cols>
  <sheetData>
    <row r="1">
      <c r="A1" s="2" t="inlineStr">
        <is>
          <t>标题</t>
        </is>
      </c>
      <c r="B1" s="2" t="inlineStr">
        <is>
          <t>分类</t>
        </is>
      </c>
      <c r="C1" s="2" t="inlineStr">
        <is>
          <t>重要程度</t>
        </is>
      </c>
      <c r="D1" s="2" t="inlineStr">
        <is>
          <t>摘要</t>
        </is>
      </c>
      <c r="E1" s="2" t="inlineStr">
        <is>
          <t>来源</t>
        </is>
      </c>
      <c r="F1" s="2" t="inlineStr">
        <is>
          <t>日期</t>
        </is>
      </c>
    </row>
    <row r="2">
      <c r="A2" s="6" t="inlineStr">
        <is>
          <t>A股失守4000点，成交额单日缩量约5100亿元</t>
        </is>
      </c>
      <c r="B2" s="6" t="inlineStr">
        <is>
          <t>A股</t>
        </is>
      </c>
      <c r="C2" s="6" t="inlineStr">
        <is>
          <t>medium</t>
        </is>
      </c>
      <c r="D2" s="6" t="inlineStr">
        <is>
          <t>2026年7月7日A股主要指数收跌，上证跌1.26%报3990.24点，深证跌1.24%，创业板跌0.94%；科创50逆势涨0.28%。</t>
        </is>
      </c>
      <c r="E2" s="6" t="inlineStr">
        <is>
          <t>https://www.cnstock.com/commonDetail/739730</t>
        </is>
      </c>
      <c r="F2" s="6" t="inlineStr"/>
    </row>
    <row r="3">
      <c r="A3" s="6" t="inlineStr">
        <is>
          <t>港股收跌，快手暴跌超12%，半导体跌幅居前</t>
        </is>
      </c>
      <c r="B3" s="6" t="inlineStr">
        <is>
          <t>港股</t>
        </is>
      </c>
      <c r="C3" s="6" t="inlineStr">
        <is>
          <t>medium</t>
        </is>
      </c>
      <c r="D3" s="6" t="inlineStr">
        <is>
          <t>2026年7月7日港股收盘，恒生指数跌0.51%报23496.89点，恒生科技跌0.75%报4507.04点；快手-W跌超12%。</t>
        </is>
      </c>
      <c r="E3" s="6" t="inlineStr">
        <is>
          <t>https://www.nbd.com.cn/articles/2026-07-07/4459342.html</t>
        </is>
      </c>
      <c r="F3" s="6" t="inlineStr"/>
    </row>
    <row r="4">
      <c r="A4" s="6" t="inlineStr">
        <is>
          <t>Anthropic将Claude Sonnet 5设为默认模型，Claude Code额度临时提升50%</t>
        </is>
      </c>
      <c r="B4" s="6" t="inlineStr">
        <is>
          <t>大模型</t>
        </is>
      </c>
      <c r="C4" s="6" t="inlineStr">
        <is>
          <t>medium</t>
        </is>
      </c>
      <c r="D4" s="6" t="inlineStr">
        <is>
          <t>Anthropic将Claude Sonnet 5设为默认模型，能力达Opus 4.8九成、定价四折；Claude Code每周限额临时提升50%至7月13日。</t>
        </is>
      </c>
      <c r="E4" s="6" t="inlineStr">
        <is>
          <t>https://caifuhao.eastmoney.com/news/20260702115556044280370</t>
        </is>
      </c>
      <c r="F4" s="6" t="inlineStr"/>
    </row>
    <row r="5">
      <c r="A5" s="6" t="inlineStr">
        <is>
          <t>SK海力士拟于7月10日登陆纳斯达克，或成全球第二大IPO</t>
        </is>
      </c>
      <c r="B5" s="6" t="inlineStr">
        <is>
          <t>半导体</t>
        </is>
      </c>
      <c r="C5" s="6" t="inlineStr">
        <is>
          <t>medium</t>
        </is>
      </c>
      <c r="D5" s="6" t="inlineStr">
        <is>
          <t>SK海力士已提交美股IPO申请，拟定于2026年7月10日以ADR形式在纳斯达克挂牌，募资规模预计约280亿美元。</t>
        </is>
      </c>
      <c r="E5" s="6" t="inlineStr">
        <is>
          <t>https://finance.sina.com.cn/stock/usstock/c/2026-06-24/doc-inienxzw6291597.shtml</t>
        </is>
      </c>
      <c r="F5" s="6" t="inlineStr"/>
    </row>
    <row r="6">
      <c r="A6" s="6" t="inlineStr">
        <is>
          <t>Meta 自研 AI 芯片 Iris 将于 9 月量产</t>
        </is>
      </c>
      <c r="B6" s="6" t="inlineStr">
        <is>
          <t>半导体/AI芯片</t>
        </is>
      </c>
      <c r="C6" s="6" t="inlineStr">
        <is>
          <t>高</t>
        </is>
      </c>
      <c r="D6" s="6" t="inlineStr">
        <is>
          <t>Meta MTIA 第四代芯片 Iris 将于 2026 年 9 月台积电量产，2026 年 AI 基础设施开支最高 1450 亿美元，目标 2027 年算力翻倍至 14GW。</t>
        </is>
      </c>
      <c r="E6" s="6" t="inlineStr">
        <is>
          <t>Straits Times / TechCrunch</t>
        </is>
      </c>
      <c r="F6" s="6" t="inlineStr">
        <is>
          <t>2026-07-14</t>
        </is>
      </c>
    </row>
    <row r="7">
      <c r="A7" s="6" t="inlineStr">
        <is>
          <t>SK 海力士创纪录 280 亿美元纳斯达克 ADR 上市</t>
        </is>
      </c>
      <c r="B7" s="6" t="inlineStr">
        <is>
          <t>半导体/存储</t>
        </is>
      </c>
      <c r="C7" s="6" t="inlineStr">
        <is>
          <t>高</t>
        </is>
      </c>
      <c r="D7" s="6" t="inlineStr">
        <is>
          <t>SK 海力士 2026 年 7 月 10 日以代码 SKHY 登陆纳斯达克，募资约 280.7 亿美元，史上最大 ADR 发行，巩固 HBM3E/HBM4 垄断地位。</t>
        </is>
      </c>
      <c r="E7" s="6" t="inlineStr">
        <is>
          <t>KuCoin Blog</t>
        </is>
      </c>
      <c r="F7" s="6" t="inlineStr">
        <is>
          <t>2026-07-14</t>
        </is>
      </c>
    </row>
    <row r="8">
      <c r="A8" s="6" t="inlineStr">
        <is>
          <t>7 月初半导体板块暴跌，英特尔股价大跌 21%</t>
        </is>
      </c>
      <c r="B8" s="6" t="inlineStr">
        <is>
          <t>半导体/市场</t>
        </is>
      </c>
      <c r="C8" s="6" t="inlineStr">
        <is>
          <t>高</t>
        </is>
      </c>
      <c r="D8" s="6" t="inlineStr">
        <is>
          <t>受 AI 资本开支增长质疑及加息担忧影响，2026 年 7 月初半导体板块市值蒸发约 1.3 万亿美元，英特尔股价大跌约 21%。</t>
        </is>
      </c>
      <c r="E8" s="6" t="inlineStr">
        <is>
          <t>Forbes</t>
        </is>
      </c>
      <c r="F8" s="6" t="inlineStr">
        <is>
          <t>2026-07-14</t>
        </is>
      </c>
    </row>
    <row r="9">
      <c r="A9" s="6" t="inlineStr">
        <is>
          <t>中国 5 月芯片出口额同比暴增 110.9%</t>
        </is>
      </c>
      <c r="B9" s="6" t="inlineStr">
        <is>
          <t>半导体/贸易</t>
        </is>
      </c>
      <c r="C9" s="6" t="inlineStr">
        <is>
          <t>高</t>
        </is>
      </c>
      <c r="D9" s="6" t="inlineStr">
        <is>
          <t>2026 年 5 月中国集成电路出口额达 355.5 亿美元，同比增 110.9%，主要由存储芯片涨价及外资在华工厂贡献。</t>
        </is>
      </c>
      <c r="E9" s="6" t="inlineStr">
        <is>
          <t>BBC 中文</t>
        </is>
      </c>
      <c r="F9" s="6" t="inlineStr">
        <is>
          <t>2026-07-14</t>
        </is>
      </c>
    </row>
    <row r="10">
      <c r="A10" s="6" t="inlineStr">
        <is>
          <t>美国担忧 ASML 最先进 EUV 光刻机可能已流入中国</t>
        </is>
      </c>
      <c r="B10" s="6" t="inlineStr">
        <is>
          <t>半导体/地缘政治</t>
        </is>
      </c>
      <c r="C10" s="6" t="inlineStr">
        <is>
          <t>中</t>
        </is>
      </c>
      <c r="D10" s="6" t="inlineStr">
        <is>
          <t>美国商务部长对 ASML 表示担忧其最尖端 EUV 设备可能已流入中国，ASML CEO 否认出售，凸显出口管制博弈焦点。</t>
        </is>
      </c>
      <c r="E10" s="6" t="inlineStr">
        <is>
          <t>TechCrunch / Reuters</t>
        </is>
      </c>
      <c r="F10" s="6" t="inlineStr">
        <is>
          <t>2026-07-14</t>
        </is>
      </c>
    </row>
    <row r="11">
      <c r="A11" s="6" t="inlineStr">
        <is>
          <t>2026 世界人工智能大会将于 7 月 17–20 日在上海举行</t>
        </is>
      </c>
      <c r="B11" s="6" t="inlineStr">
        <is>
          <t>AI/展会</t>
        </is>
      </c>
      <c r="C11" s="6" t="inlineStr">
        <is>
          <t>中</t>
        </is>
      </c>
      <c r="D11" s="6" t="inlineStr">
        <is>
          <t>WAIC 2026 以“智能伙伴，共创未来”为主题，汇聚 1100 余家全球企业与 3000 余件展品，首次设立 OPC 专区。</t>
        </is>
      </c>
      <c r="E11" s="6" t="inlineStr">
        <is>
          <t>CCTV 产业+</t>
        </is>
      </c>
      <c r="F11" s="6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2026-07-14T01:31:09Z</dcterms:created>
  <dcterms:modified xmlns:dcterms="http://purl.org/dc/terms/" xmlns:xsi="http://www.w3.org/2001/XMLSchema-instance" xsi:type="dcterms:W3CDTF">2026-07-14T01:31:09Z</dcterms:modified>
</cp:coreProperties>
</file>